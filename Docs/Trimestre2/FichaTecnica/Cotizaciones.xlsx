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tátil Admin" sheetId="1" r:id="rId5"/>
    <sheet state="visible" name="Torre Admin" sheetId="2" r:id="rId6"/>
    <sheet state="visible" name="Monitor Admin" sheetId="3" r:id="rId7"/>
    <sheet state="visible" name="Disco Sólido Admin" sheetId="4" r:id="rId8"/>
    <sheet state="visible" name="Disco Duro Interno Admin" sheetId="5" r:id="rId9"/>
    <sheet state="visible" name="Servidor Admin" sheetId="6" r:id="rId10"/>
    <sheet state="visible" name="RAM Admin" sheetId="7" r:id="rId11"/>
    <sheet state="visible" name="Procesador Admin " sheetId="8" r:id="rId12"/>
    <sheet state="visible" name="Teclado Admin" sheetId="9" r:id="rId13"/>
    <sheet state="visible" name="Mouse Admin" sheetId="10" r:id="rId14"/>
    <sheet state="visible" name="Torre Nosotros" sheetId="11" r:id="rId15"/>
    <sheet state="visible" name="Monitor Nosotros" sheetId="12" r:id="rId16"/>
    <sheet state="visible" name=" Disco Mecánico Nosotros" sheetId="13" r:id="rId17"/>
    <sheet state="visible" name=" Servidor Nosotros" sheetId="14" r:id="rId18"/>
    <sheet state="visible" name="RAM Nosotros" sheetId="15" r:id="rId19"/>
    <sheet state="visible" name="Tarjeta de Vídeo Nosotros" sheetId="16" r:id="rId20"/>
    <sheet state="visible" name="Procesador Nosotros" sheetId="17" r:id="rId21"/>
    <sheet state="visible" name="Teclado Nosotros " sheetId="18" r:id="rId22"/>
    <sheet state="visible" name="Mouse Nosotros" sheetId="19" r:id="rId23"/>
    <sheet state="visible" name="Software Licencia" sheetId="20" r:id="rId24"/>
    <sheet state="visible" name="Licencia Visual" sheetId="21" r:id="rId25"/>
    <sheet state="visible" name="Windows 11 Licencia" sheetId="22" r:id="rId26"/>
    <sheet state="visible" name="Licencia SQL" sheetId="23" r:id="rId27"/>
  </sheets>
  <definedNames/>
  <calcPr/>
</workbook>
</file>

<file path=xl/sharedStrings.xml><?xml version="1.0" encoding="utf-8"?>
<sst xmlns="http://schemas.openxmlformats.org/spreadsheetml/2006/main" count="728" uniqueCount="472">
  <si>
    <t>CUADRO DE COTIZACIONES</t>
  </si>
  <si>
    <t xml:space="preserve">Cuadro Comparativo de Cotizaciones </t>
  </si>
  <si>
    <t xml:space="preserve">Presupuestos (a)
</t>
  </si>
  <si>
    <r>
      <rPr>
        <rFont val="Arial"/>
        <b/>
        <color theme="1"/>
        <sz val="10.0"/>
      </rPr>
      <t>Empresa</t>
    </r>
    <r>
      <rPr>
        <rFont val="Arial"/>
        <b val="0"/>
        <i/>
        <color theme="1"/>
        <sz val="10.0"/>
      </rPr>
      <t xml:space="preserve">
(Nombre fiscal de la empresa)</t>
    </r>
  </si>
  <si>
    <r>
      <rPr>
        <rFont val="Trebuchet MS"/>
        <b/>
        <color theme="1"/>
        <sz val="10.0"/>
      </rPr>
      <t>Empresa</t>
    </r>
    <r>
      <rPr>
        <rFont val="Trebuchet MS"/>
        <b val="0"/>
        <i/>
        <color theme="1"/>
        <sz val="8.0"/>
      </rPr>
      <t xml:space="preserve">
(Nombre fiscal de la empresa)</t>
    </r>
  </si>
  <si>
    <r>
      <rPr>
        <rFont val="Trebuchet MS"/>
        <b/>
        <color theme="1"/>
        <sz val="10.0"/>
      </rPr>
      <t>Empresa</t>
    </r>
    <r>
      <rPr>
        <rFont val="Trebuchet MS"/>
        <b val="0"/>
        <i/>
        <color theme="1"/>
        <sz val="8.0"/>
      </rPr>
      <t xml:space="preserve">
(Nombre fiscal de la empresa)</t>
    </r>
  </si>
  <si>
    <r>
      <rPr>
        <rFont val="Arial"/>
        <b/>
        <color theme="1"/>
        <sz val="10.0"/>
      </rPr>
      <t>Nº de CUIT, Dirección, Teléfono</t>
    </r>
    <r>
      <rPr>
        <rFont val="Arial"/>
        <b val="0"/>
        <i/>
        <color theme="1"/>
        <sz val="10.0"/>
      </rPr>
      <t xml:space="preserve">
(Datos de la empresa)</t>
    </r>
  </si>
  <si>
    <r>
      <rPr>
        <rFont val="Arial"/>
        <b/>
        <color theme="1"/>
        <sz val="10.0"/>
      </rPr>
      <t>Descripción del
bien/ servicio (b)</t>
    </r>
    <r>
      <rPr>
        <rFont val="Arial"/>
        <b val="0"/>
        <i/>
        <color theme="1"/>
        <sz val="10.0"/>
      </rPr>
      <t xml:space="preserve">
Características de los bienes/ servicios</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</si>
  <si>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</si>
  <si>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Arial"/>
        <b/>
        <color theme="1"/>
        <sz val="10.0"/>
      </rPr>
      <t xml:space="preserve">Importe Unitario
</t>
    </r>
    <r>
      <rPr>
        <rFont val="Arial"/>
        <b val="0"/>
        <i/>
        <color theme="1"/>
        <sz val="10.0"/>
      </rPr>
      <t>(moneda nacional)</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</si>
  <si>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</si>
  <si>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</si>
  <si>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 xml:space="preserve">Importe Unitario
</t>
    </r>
    <r>
      <rPr>
        <rFont val="Trebuchet MS"/>
        <b val="0"/>
        <i/>
        <color theme="1"/>
        <sz val="8.0"/>
      </rPr>
      <t>(moneda nacional)</t>
    </r>
  </si>
  <si>
    <r>
      <rPr>
        <rFont val="Arial"/>
        <b/>
        <color theme="1"/>
        <sz val="10.0"/>
        <u/>
      </rPr>
      <t xml:space="preserve">Importe Total
 IVA incluido
</t>
    </r>
    <r>
      <rPr>
        <rFont val="Arial"/>
        <b val="0"/>
        <i/>
        <color theme="1"/>
        <sz val="10.0"/>
        <u/>
      </rPr>
      <t>(moneda nacional)</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</si>
  <si>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</si>
  <si>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</si>
  <si>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</si>
  <si>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</si>
  <si>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10.0"/>
      </rPr>
      <t>(moneda extranjera)</t>
    </r>
  </si>
  <si>
    <t>Tipo de cambio</t>
  </si>
  <si>
    <r>
      <rPr>
        <rFont val="Arial"/>
        <b/>
        <color theme="1"/>
        <sz val="10.0"/>
      </rPr>
      <t xml:space="preserve">Forma de Pago 
</t>
    </r>
    <r>
      <rPr>
        <rFont val="Arial"/>
        <b val="0"/>
        <i/>
        <color theme="1"/>
        <sz val="10.0"/>
      </rPr>
      <t>(Contado o Cheque)</t>
    </r>
  </si>
  <si>
    <r>
      <rPr>
        <rFont val="Arial"/>
        <b/>
        <color theme="1"/>
        <sz val="10.0"/>
      </rPr>
      <t xml:space="preserve">Importe Total
</t>
    </r>
    <r>
      <rPr>
        <rFont val="Arial"/>
        <b val="0"/>
        <i/>
        <color theme="1"/>
        <sz val="8.0"/>
      </rPr>
      <t>(moneda extranjera)</t>
    </r>
  </si>
  <si>
    <r>
      <rPr>
        <rFont val="Arial"/>
        <b/>
        <color theme="1"/>
        <sz val="10.0"/>
      </rPr>
      <t xml:space="preserve">Importe Total
</t>
    </r>
    <r>
      <rPr>
        <rFont val="Arial"/>
        <b val="0"/>
        <i/>
        <color theme="1"/>
        <sz val="8.0"/>
      </rPr>
      <t>(moneda extranjera)</t>
    </r>
  </si>
  <si>
    <r>
      <rPr>
        <rFont val="Arial"/>
        <b/>
        <color theme="1"/>
        <sz val="10.0"/>
      </rPr>
      <t xml:space="preserve">Observaciones </t>
    </r>
    <r>
      <rPr>
        <rFont val="Arial"/>
        <b val="0"/>
        <i/>
        <color theme="1"/>
        <sz val="10.0"/>
      </rPr>
      <t xml:space="preserve">
(se debe incluir toda aquella característica que no ha sido posible incluir anteriormente)</t>
    </r>
  </si>
  <si>
    <r>
      <rPr>
        <rFont val="Trebuchet MS"/>
        <b/>
        <color theme="1"/>
        <sz val="10.0"/>
      </rPr>
      <t xml:space="preserve">Forma de Pago 
</t>
    </r>
    <r>
      <rPr>
        <rFont val="Trebuchet MS"/>
        <b val="0"/>
        <i/>
        <color theme="1"/>
        <sz val="8.0"/>
      </rPr>
      <t>(Contado o Cheque)</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</si>
  <si>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</si>
  <si>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</si>
  <si>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Nº 1</t>
  </si>
  <si>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</si>
  <si>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ALKOSTO</t>
  </si>
  <si>
    <t>https://www.alkosto.com/monitor-asus-238-pulgadas-va249hg-fhd-plano-negro/p/4711387795170?gclsrc=aw.ds&amp;&amp;fuente=google&amp;medio=cpc&amp;campaign=AK_COL_MAX_PEF_CPC_AON_COMP_Asus_Ago21_EXP_AGO&amp;keyword=&amp;gad_source=4&amp;gad_campaignid=17420068513&amp;gbraid=0AAAAADlnVbhTt2bUyE9x4u81paFq-_asX&amp;gclid=CjwKCAjw0sfHBhB6EiwAQtv5qYskqqpqCXQ9EczewBtrAqirhsDkg5N8KqKKU7_G-PcF_azrODGRoRoC3-AQAvD_BwE</t>
  </si>
  <si>
    <t>Lenovo</t>
  </si>
  <si>
    <t xml:space="preserve">MERCADO LIBRE </t>
  </si>
  <si>
    <t>https://www.lenovo.com/co/es/p/portatiles/thinkbook/thinkbook-serie/lenovo-thinkbook-16-gen-7-16-inch-amd/21mw000klm</t>
  </si>
  <si>
    <t>https://www.mercadolibre.com.co/cpu-torre-intel-core-i5-4ta-ram-8gb-ssd-256gb-reacondiciono/up/MCOU3375691800#polycard_client=recommendations_vip&amp;reco_backend=ranker_compl&amp;reco_model=rk_ent_v3_retsys_compl&amp;reco_client=vip&amp;reco_item_pos=2&amp;reco_backend_type=low_level&amp;reco_id=7e6b646a-be9c-4dcf-9fbc-9777dfc0aca0&amp;wid=MCO3045854278&amp;sid=recos</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</si>
  <si>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</si>
  <si>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</si>
  <si>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</si>
  <si>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</si>
  <si>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</si>
  <si>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</si>
  <si>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t>ThinkBook 16 7ma Gen - Arctic Grey, Procesador AMD Ryzen™ 5 7535HS (3,30 GHz hasta 4,55 GHz)</t>
  </si>
  <si>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</si>
  <si>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</si>
  <si>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Cpu Torre Intel Core I5 4ta Ram 8gb Ssd 256gb Reacondiciono</t>
  </si>
  <si>
    <t>MERCADOLIBRE</t>
  </si>
  <si>
    <t>https://www.mercadolibre.com.co/disco-solido-ssd-interno-adata-ultimate-su650-asu650ss-512gt-r-512gb/p/MCO35339869?pdp_filters=item_id%3AMCO1652479149&amp;from=gshop&amp;matt_tool=32927594&amp;matt_word=&amp;matt_source=google&amp;matt_campaign_id=22126928795&amp;matt_ad_group_id=173140669883&amp;matt_match_type=&amp;matt_network=g&amp;matt_device=c&amp;matt_creative=729917880236&amp;matt_keyword=&amp;matt_ad_position=&amp;matt_ad_type=pla&amp;matt_merchant_id=735122983&amp;matt_product_id=MCO35339869-product&amp;matt_product_partition_id=2389849485285&amp;matt_target_id=pla-2389849485285&amp;cq_src=google_ads&amp;cq_cmp=22126928795&amp;cq_net=g&amp;cq_plt=gp&amp;cq_med=pla&amp;gad_source=1&amp;gad_campaignid=22126928795&amp;gbraid=0AAAAAD1DcoxmzvLy3yzvJKy3uATiEskFY&amp;gclid=CjwKCAjw0sfHBhB6EiwAQtv5qX0h-a40LMEyZNavJvkYbXLIqzCzxdNHe5oPusyg0vp9-UMs0vvueRoCpDMQAvD_BwE</t>
  </si>
  <si>
    <t>Monitor ASUS 23.8" Pulgadas VA249HG FHD Plano Negro</t>
  </si>
  <si>
    <t xml:space="preserve">CONTADO </t>
  </si>
  <si>
    <t>16 GB DDR5-4800MT/s (SODIMM)(2 x 8 GB), 512 GB SSD M.2 2242 PCIe Gen4 TLC</t>
  </si>
  <si>
    <t xml:space="preserve">Nº2 </t>
  </si>
  <si>
    <t>ASUS</t>
  </si>
  <si>
    <t>https://co.store.asus.com/90nb0zt2-m00580-portatil-asus-vivobook-go-15-ci3-8gb-512gb-ssd-amd-radeon-15-6-e1504fa-l1364w.html</t>
  </si>
  <si>
    <t>CONTADO, PAGO EN LINEA</t>
  </si>
  <si>
    <t>Capacidad máxima soportada de la memoria RAM 32, windows 10.
10
32 GB</t>
  </si>
  <si>
    <t>https://www.mercadolibre.com.co/cpu-torre-intel-core-i7-6ta-gen-ram-8gb-disco-500gb/up/MCOU3049363081?pdp_filters=item_id%3AMCO2827715316&amp;from=gshop&amp;matt_tool=87585337&amp;matt_word=&amp;matt_source=google&amp;matt_campaign_id=22126928786&amp;matt_ad_group_id=173140660763&amp;matt_match_type=&amp;matt_network=g&amp;matt_device=c&amp;matt_creative=729836849947&amp;matt_keyword=&amp;matt_ad_position=&amp;matt_ad_type=pla&amp;matt_merchant_id=5528479097&amp;matt_product_id=MCOU3049363081&amp;matt_product_partition_id=2389840739979&amp;matt_target_id=pla-2389840739979&amp;cq_src=google_ads&amp;cq_cmp=22126928786&amp;cq_net=g&amp;cq_plt=gp&amp;cq_med=pla&amp;gad_source=4&amp;gad_campaignid=22126928786&amp;gbraid=0AAAAAD1Dcow2fMz9Hy3jncZEQbk4oWMwq&amp;gclid=CjwKCAjwr8LHBhBKEiwAy47uUpP8iueTRhOzbih7FwYDBlDDGqF0UcPd2tBClNeOuPohgVcdT376FhoCErAQAvD_BwE</t>
  </si>
  <si>
    <t>Portátil ASUS Vivobook Go 15 E1504GA-NJ092W Intel® Core™ i3-N305 (6MB Caché, 8 Núcleos y 8 Subprocesos)</t>
  </si>
  <si>
    <t>8GB DDR4 (No Expandible) 512GB SSD (No Expandible)</t>
  </si>
  <si>
    <t>Nº 3</t>
  </si>
  <si>
    <t>HUAWEI</t>
  </si>
  <si>
    <t>https://consumer.huawei.com/co/laptops/matebook-d-15-2023/</t>
  </si>
  <si>
    <t>CONTADO</t>
  </si>
  <si>
    <t>Tiene un ángulos de visión de 178°, Tecnología Eye Care con luz azul baja y sin parpadeo</t>
  </si>
  <si>
    <t xml:space="preserve">Pantalla: 15.6″, tipo IPS, relación de aspecto 16:9, resolución Full HD (1920×1080), Gráficos: Intel® Iris®
</t>
  </si>
  <si>
    <t>XIAOMI</t>
  </si>
  <si>
    <t>Disco Solido Ssd Adata Su650 Sata De 512 Gb 3dnan</t>
  </si>
  <si>
    <t>https://www.mi.com/co/product/xiaomi-monitor-a27i/buy/?gad_campaignid=21877291918&amp;gad_source=4&amp;gbraid=0AAAAA-PJ7P3cfyu4HNtXg8HDIFjJqqk8P&amp;gclid=CjwKCAjw0sfHBhB6EiwAQtv5qcu7m60Tc2unVIQ-YWtvgLjoqtgfZetu7KjOdnrx2qU_sL6FsoPOHxoCArIQAvD_BwE&amp;gid=4223713924&amp;utm_campaign=micom_co_pmax_aiot&amp;utm_channel=search&amp;utm_medium=paid-search&amp;utm_source=google&amp;utm_type=1</t>
  </si>
  <si>
    <t xml:space="preserve">Pantalla cómodo para productividad, 
Procesador moderno
adecuado para uso general, navegación, consumo multimedia.
</t>
  </si>
  <si>
    <t>Cpu Torre Intel Core I7 6ta Gen Ram 8gb Disco 500gb 8 Gb</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</si>
  <si>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</si>
  <si>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t>En PcWare encuentras de forma fácil un gran catálogo el componente o partes de pc al mejor precio</t>
  </si>
  <si>
    <t>EXITO</t>
  </si>
  <si>
    <t>https://www.exito.com/gabinete-xtech-atx-micro-atx-kit-teclado-mouse-y-bocinas-103725363-mp/p?idsku=103725363&amp;srsltid=AfmBOorLrgSMW-G7GmobFzZBvsRoR659VaCsixgZ7QnksBG1d08hpIQRP3I</t>
  </si>
  <si>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</si>
  <si>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Xiaomi Monitor A27i</t>
  </si>
  <si>
    <t>Gabinete Xtech Atx Micro Atx Kit Teclado Mouse Y Bocinas</t>
  </si>
  <si>
    <t>Interfaz SATA 6Gb/s, formato 2,5″,  capacidades de hasta 960 GB.</t>
  </si>
  <si>
    <t>Computador gamer de escritorio, fuente de alimentación con una capacidad máxima de 500W
Incluye dos puertos USB 2.0
Admite hasta 3 ventiladores optativos</t>
  </si>
  <si>
    <t>Tiene una resolusion 1080p, HDMI 2.0 y DisplayPort 1.4
Resolución</t>
  </si>
  <si>
    <t>FALABELLA</t>
  </si>
  <si>
    <t>https://www.falabella.com.co/falabella-co/product/129581993/Monitor-LG-2145-FHD-FreeSync-100Hz-5ms-Negro/129581994?kid=shopp261fa&amp;gclsrc=aw.ds&amp;gad_source=4&amp;gad_campaignid=21861273110&amp;gbraid=0AAAAADtuoyT4msvbvAdNcN40msY1D1LZP&amp;gclid=CjwKCAjw0sfHBhB6EiwAQtv5qePp5-Hwy0PoD46g_Cx8ycsHcP63ahVy_7iPCsztXdiyZVOKc1Ha9hoCshMQAvD_BwE</t>
  </si>
  <si>
    <r>
      <rPr>
        <rFont val="Arial"/>
        <b/>
        <color theme="1"/>
        <sz val="10.0"/>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</si>
  <si>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</si>
  <si>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SSD NVMe PCIe (unidad de estado sólido). Capacidad típica: 512 GB</t>
  </si>
  <si>
    <t>N/A</t>
  </si>
  <si>
    <t xml:space="preserve">Ofrece mucho mayor velocidad de lectura y escritura que un disco duro mecánico (HDD), arranques más rápidos, menor tiempo de carga de aplicaciones y mejor fluidez general.
</t>
  </si>
  <si>
    <t>TECNOPLAZA</t>
  </si>
  <si>
    <t>Monitor LG 2145 FHD FreeSync 100Hz 5ms Negro</t>
  </si>
  <si>
    <t>https://tecnoplaza.com.co/products/disco-solido-ssd-adata-256gb-su650-520-450mbps-3d-nand-2-5?variant=44592997662908&amp;country=CO&amp;currency=COP&amp;utm_medium=product_sync&amp;utm_source=google&amp;utm_content=sag_organic&amp;utm_campaign=sag_organic&amp;srsltid=AfmBOoqe4zE91sgMfuk-VYOxBc_FfbODV1smw037MEIft0_uyMDYCGmY2iAmatt_tool=19390127&amp;utm_source=google_shopping&amp;utm_medium=organic&amp;pdp_filters=item_id%3AMCO2503122790&amp;from=gshop</t>
  </si>
  <si>
    <t>Pantalla con tecnología AMD FreeSync que  elimina el desgarro de la pantalla, con puertos HDMI y VGA</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</si>
  <si>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</si>
  <si>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</si>
  <si>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Disco Solido Ssd Adata 256gb Su650 520/450mbps 3d Nand 2.5</t>
  </si>
  <si>
    <t>Interfaz 6Gb/s, formato 2,5″,  capacidades de hasta 960 GB.</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</si>
  <si>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</si>
  <si>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</si>
  <si>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</si>
  <si>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</si>
  <si>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</si>
  <si>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</si>
  <si>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</si>
  <si>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</si>
  <si>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</si>
  <si>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</si>
  <si>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</si>
  <si>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</si>
  <si>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</si>
  <si>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t xml:space="preserve">´MERCADO LIBRE </t>
  </si>
  <si>
    <r>
      <rPr>
        <rFont val="Trebuchet MS"/>
        <b/>
        <color theme="1"/>
        <sz val="10.0"/>
      </rPr>
      <t xml:space="preserve">Importe Unitario
</t>
    </r>
    <r>
      <rPr>
        <rFont val="Trebuchet MS"/>
        <b val="0"/>
        <i/>
        <color theme="1"/>
        <sz val="8.0"/>
      </rPr>
      <t>(moneda nacional)</t>
    </r>
  </si>
  <si>
    <t>https://www.mercadolibre.com.co/disco-solido-ssd-interno-kingston-sa400s37240gb-negro/p/MCO19035706?pdp_filters=category:MCO1672#searchVariation=MCO19035706&amp;position=7&amp;search_layout=stack&amp;type=product&amp;tracking_id=d2347602-d832-46e2-b62a-c4c325617137</t>
  </si>
  <si>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</si>
  <si>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</si>
  <si>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</si>
  <si>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</si>
  <si>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Vercel Inc.</t>
  </si>
  <si>
    <t>Hosting para aplicaciones web (frontend y backend serverless). Plan Hobby/Pro.</t>
  </si>
  <si>
    <t>Disco sólido SSD interno Kingston SA400S37/240GB Negro</t>
  </si>
  <si>
    <t>Amazon Web Services (AWS)</t>
  </si>
  <si>
    <t>Servicios de computación en la nube: Amplify, EC2, Lambda, S3.</t>
  </si>
  <si>
    <t xml:space="preserve">CONTADO / PAGO EN LÍNEA </t>
  </si>
  <si>
    <t>Procesador AMD EPYC, 16GB RAM, 2TB HDD, 3 bahías de expansión, gestión remota, 1 puerto Gigabit Ethernet</t>
  </si>
  <si>
    <t>Microsoft Azure</t>
  </si>
  <si>
    <t>El Kingston A400 SA400S37/240G 240 GB ofrece una transferencia de datos de 550 MB/s en lectura y 490 MB/s en escritura, para un rendimiento óptimo.</t>
  </si>
  <si>
    <t>TECHINN</t>
  </si>
  <si>
    <t>https://www.tradeinn.com/techinn/es/sandisk-ssd-sdssda-1t00-g27-1tb/139174317/p?utm_source=google_products&amp;utm_medium=merchant&amp;id_producte=17173320&amp;country=co&amp;srsltid=AfmBOoo-7r2X-i4u2h0wePj0qX23IeEOFcWKHfX4uPQZkFJNcVNkwSjKaNY</t>
  </si>
  <si>
    <t>App Service, Static Web Apps, Azure Functions.</t>
  </si>
  <si>
    <t>Procesador AMD EPYC 4124P 3.8GHz, 16GB DDR5 RAM, 10TB HDD, 3 bahías de expansión, gestión remota, 1 puerto Gigabit Ethernet</t>
  </si>
  <si>
    <r>
      <rPr>
        <rFont val="Trebuchet MS"/>
        <b/>
        <color theme="1"/>
        <sz val="10.0"/>
      </rPr>
      <t>Empresa</t>
    </r>
    <r>
      <rPr>
        <rFont val="Trebuchet MS"/>
        <b val="0"/>
        <i/>
        <color theme="1"/>
        <sz val="8.0"/>
      </rPr>
      <t xml:space="preserve">
(Nombre fiscal de la empresa)</t>
    </r>
  </si>
  <si>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</si>
  <si>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</si>
  <si>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</si>
  <si>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</si>
  <si>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</si>
  <si>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</si>
  <si>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</si>
  <si>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</si>
  <si>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t>Sandisk SSD SDSSDA-1T00-G27 1TB</t>
  </si>
  <si>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</si>
  <si>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Velocidad de transferencia de datos:6 Gbit/s, Componente para:PC/ordenador portátil</t>
  </si>
  <si>
    <t>https://www.mercadolibre.com.co/disco-solido-ssd-interno-1tb-teamgroup-ax2-sata-iii-laptop-color-naranja/p/MCO21774428?matt_tool=19390127&amp;utm_source=google_shopping&amp;utm_medium=organic&amp;pdp_filters=item_id%3AMCO2978625718&amp;from=gshop</t>
  </si>
  <si>
    <t>16 RAM Capacidad: 16 gigabytes</t>
  </si>
  <si>
    <t>Disco Sólido Ssd Interno 1tb Teamgroup Ax2 - Sata Iii Laptop Color Naranja</t>
  </si>
  <si>
    <t>RAM tipo SODIMM compatible con portátiles y equipos compactos con ranura DDR4. Velocidad de lectura: 21.333 Mbps. Garantía: 3 años.</t>
  </si>
  <si>
    <t>Mips</t>
  </si>
  <si>
    <t>https://mipscolombia.com.co/product/ddr4-16gb-3200-crucial-2/</t>
  </si>
  <si>
    <t xml:space="preserve">Velocidad de transferencia de datos:6 Gbit/s, </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</si>
  <si>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</si>
  <si>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</si>
  <si>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</si>
  <si>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t>Memoria DDR4 16 GB 3200 MHz Crucial</t>
  </si>
  <si>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</si>
  <si>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</si>
  <si>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</si>
  <si>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</si>
  <si>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</si>
  <si>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</si>
  <si>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t>Cuenta con una tasa de transferencia de 25600 MB/s.</t>
  </si>
  <si>
    <t xml:space="preserve">
</t>
  </si>
  <si>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</si>
  <si>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Mercado Libre</t>
  </si>
  <si>
    <t>https://www.mercadolibre.com.co/memoria-ram-16gb-1x16gb-ddr4-2666-mhz-udimm-timetec-mr-dr41/p/MCO27555615#polycard_client=search-nordic&amp;search_layout=stack&amp;position=1&amp;type=product&amp;tracking_id=6eda7fb7-da2c-414d-a157-04d3a3cd24e0&amp;wid=MCO1656663117&amp;sid=search</t>
  </si>
  <si>
    <t xml:space="preserve">Mercado Libre </t>
  </si>
  <si>
    <t>https://www.mercadolibre.com.co/procesador-amd-ryzen-5-8500g-radeon-6c12t/p/MCO32480267#polycard_client=search_best-seller-categories&amp;tracking_id=513e9df8-cff3-4deb-bc0a-6465786e5ce8&amp;wid=MCO2381106026&amp;sid=search</t>
  </si>
  <si>
    <t>Memoria RAM Timetec DDR4 16 GB 2666 MHz UDIMM (para PC de escritorio)</t>
  </si>
  <si>
    <t>Procesador Amd Ryzen 5 8500g Radeon (6c/12t)</t>
  </si>
  <si>
    <t>RAM tipo UDIMM (para escritorio). Velocidad: 2666 MHz. Buen equilibrio precio-rendimiento. Compatible con software desde Windows 7 si la placa madre admite DDR4.</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</si>
  <si>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</si>
  <si>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t>AMD Radeon 740M, RAM DDR5, 6 nucleos, 256 GB, 5 GHz</t>
  </si>
  <si>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</si>
  <si>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Clones y Periféricos</t>
  </si>
  <si>
    <t>https://clonesyperifericos.com/comprar/procesador-amd-ryzen-5-5600t-4-5ghz/</t>
  </si>
  <si>
    <t xml:space="preserve">Procesador AMD Ryzen 5 5600T 4.5Ghz
</t>
  </si>
  <si>
    <t>6 núcleos y 12 subprocesos, MD «Zen 3», 4,5 GHz, 32 MB, memoria ram DDR4.</t>
  </si>
  <si>
    <t>https://speedlogic.com.co/tienda/procesadores/intel/procesador-intel-core-i5-12400f-25-18m-6-cor-xii-generacion-no-video/</t>
  </si>
  <si>
    <t>Intel Core i5‑1135G7 (11ª gen) 4 núcleos físicos + 8 hilos</t>
  </si>
  <si>
    <t xml:space="preserve">Muy buen rendimiento para tareas cotidianas (ofimática, navegación, streaming) gracias a sus 4 núcleos + 8 hilos
</t>
  </si>
  <si>
    <r>
      <rPr>
        <rFont val="Arial"/>
        <b/>
        <color theme="1"/>
        <sz val="10.0"/>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</si>
  <si>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</si>
  <si>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</si>
  <si>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</si>
  <si>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</si>
  <si>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</si>
  <si>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</si>
  <si>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</si>
  <si>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</si>
  <si>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</si>
  <si>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https://www.mercadolibre.com.co/teclado-trust-primo-teclas-silenciosas-y-resistente-liquidos-color-del-teclado-negro/p/MCO24752522?quantity=1</t>
  </si>
  <si>
    <t>Teclado Trust Primo Teclas Silenciosas Y Resistente Líquidos</t>
  </si>
  <si>
    <t xml:space="preserve">Layout: QWERTY.
Color del teclado: Negro.
Teclado de membrana con conexión USB 2.0 para fácil compatibilidad.
Teclas silenciosas que reducen el ruido al escribir.
Ergonómico con altura de 3 cm para mayor comodidad.
Teclado numérico incluido para facilitar cálculos.
Resistente a salpicaduras para mayor durabilidad.
Peso de 488 g que permite fácil transporte.
</t>
  </si>
  <si>
    <t>https://www.alkosto.com/teclado-kalley-alambrico-gaming-k-kgt-negro-rojo/p/7705946478533</t>
  </si>
  <si>
    <t>Teclado KALLEY Alámbrico Gaming K-KGT</t>
  </si>
  <si>
    <t>HOMECENTER</t>
  </si>
  <si>
    <t>https://www.homecenter.com.co/homecenter-co/product/783011/teclado-alfanumerico-usb-steren/783011/</t>
  </si>
  <si>
    <t>Teclado Alfanumérico USB Steren</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</si>
  <si>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</si>
  <si>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</si>
  <si>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</si>
  <si>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</si>
  <si>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</si>
  <si>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</si>
  <si>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</si>
  <si>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</si>
  <si>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Calle 12 # 34 - 30, Bogotá D.C.</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</si>
  <si>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</si>
  <si>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t xml:space="preserve">Inalámbrica mediante receptor USB 2.4 GHz Sensor: Óptico “BlueEye”. Alimentación  Una pila tipo AA.
</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</si>
  <si>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</si>
  <si>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</si>
  <si>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</si>
  <si>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</si>
  <si>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</si>
  <si>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</si>
  <si>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</si>
  <si>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</si>
  <si>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</si>
  <si>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 xml:space="preserve">Muy buena opción para uso general / oficina / estudio. El clic reduce bastante el ruido, lo cual es ideal para ambientes compartidos, bibliotecas, aulas o lugares donde no quieres molestar.
</t>
  </si>
  <si>
    <t>PANAMERICANA</t>
  </si>
  <si>
    <t>https://www.panamericana.com.co/mouse-gaming-alambrico-ghostgrip-rgb-negro-664708/p</t>
  </si>
  <si>
    <t>Mouse gaming alámbrico Ghostgrip RGB negro</t>
  </si>
  <si>
    <t>Botones laterales para una navegación web más sencilla, Diseño antideslizante, Detección de entrada ultrarrápida</t>
  </si>
  <si>
    <t>https://articulo.mercadolibre.com.co/MCO-1437950167-cpu-torre-intel-core-i5-2-generacion-12gb-ram-pc-corporativo-_JM#polycard_client=recommendations_vip-v2p&amp;reco_backend=ranker_retrieval_system_org&amp;reco_model=rk_ent_v3_retsys_org&amp;reco_client=vip-v2p&amp;reco_item_pos=0&amp;reco_backend_type=low_level&amp;reco_id=06a01dee-1ab6-47f8-a9f2-1bb6f8e0ad23&amp;wid=MCO1437950167&amp;sid=recos</t>
  </si>
  <si>
    <t>https://www.homecenter.com.co/homecenter-co/product/509577/mouse-gamer-pc-usb-7-botones-4800-dpi-rgb/509577/</t>
  </si>
  <si>
    <t>Cpu Torre Intel Core I5 2 Generacion 12gb Ram Pc Corporativo</t>
  </si>
  <si>
    <t>Ordenador de mesa formato compacto SFF Procesador Intel Core i5-2400 (2a Generación) @ 3.1 GHz (Max Turbo Frequency 3.40 GHz)</t>
  </si>
  <si>
    <t>Mouse Gamer PC USB 7 Botones 4800 DPI RGB</t>
  </si>
  <si>
    <t>Éxito</t>
  </si>
  <si>
    <t>https://www.exito.com/portatil-asus-ryzen-3-7320u-8gb-ram-512gb-ssd-156-fhd-e1504fa-nj1961-104741733-mp/p</t>
  </si>
  <si>
    <t>Portatil Asus Ryzen 3 7320U 8Gb Ram 512Gb Ssd 15.6 Fhd E1504fa Nj1961 AMD Ryzen 3</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</si>
  <si>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</si>
  <si>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t>8 GB 512 GB SSD AMD Radeon</t>
  </si>
  <si>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</si>
  <si>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</si>
  <si>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</si>
  <si>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</si>
  <si>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</si>
  <si>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</si>
  <si>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</si>
  <si>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</si>
  <si>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</si>
  <si>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</si>
  <si>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</si>
  <si>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 xml:space="preserve">ALKOSTO </t>
  </si>
  <si>
    <t>https://www.alkosto.com/computador-all-in-one-v400-asus-238-pulgadas-v440vak-intel/p/4711387958544</t>
  </si>
  <si>
    <t>Computador All in One V400 ASUS 23.8" Pulgadas V440VAK - Intel Core i3 - RAM 8GB - Disco SSD 512GB - Negro</t>
  </si>
  <si>
    <t>Pantalla NanoEdge ofrece ángulos de visión de hasta 178°</t>
  </si>
  <si>
    <t>https://www.exito.com/monitor-aoc-led-profesional-plano-21pulgadas-full-hd-hdmi-base-fija-104127385-mp/p</t>
  </si>
  <si>
    <t>Monitor Aoc Led Profesional Plano 21Pulgadas Full Hd Hdmi Base Fija</t>
  </si>
  <si>
    <t>Panel 21,45"  Tiempo de respuesta 4 ms de GtG  Resolución óptima 1920 × 1080 a 100 Hz – HDMI, 1920 × 1080 a 60 Hz – VGA</t>
  </si>
  <si>
    <t>SYM computadores</t>
  </si>
  <si>
    <t>https://symcomputadores.com/producto/monitor-acer-22-ek220q-1920x1080-ips-100hz-1ms/</t>
  </si>
  <si>
    <t>MONITOR ACER 22″ EK220Q – 1920X1080 – IPS – 100HZ – 1MS – PLANO</t>
  </si>
  <si>
    <t>Tamaño: 21.5 pulgadas
Resolución: Full HD (1920 x 1080) Tiempo de respuesta: 1ms (G a G)</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</si>
  <si>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</si>
  <si>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</si>
  <si>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 xml:space="preserve">M </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</si>
  <si>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</si>
  <si>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</si>
  <si>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</si>
  <si>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</si>
  <si>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 xml:space="preserve">Importe Total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</si>
  <si>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</si>
  <si>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</si>
  <si>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</si>
  <si>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PC ware</t>
  </si>
  <si>
    <t>https://www.pcware.com.co/sp-armor-a30-hdd-1tb-usb-3-2-gen-1-compatibilidad-multiplataforma-a-prueba-de-golpes-de-grado-militar-color-negro-con-naranja</t>
  </si>
  <si>
    <t>SP Armor A30 HDD 1TB/ USB 3.2 Gen 1/ compatibilidad multiplataforma/ A prueba de golpes de grado militar/ color negro con naranja</t>
  </si>
  <si>
    <t>es una unidad de almacenamiento de grado militar esta diseñado para resistir y durar las condiciones mas duras</t>
  </si>
  <si>
    <t>Mercado libre</t>
  </si>
  <si>
    <t>https://www.mercadolibre.com.co/disco-duro-mecanico-iii-con-interfaz-de-disco-duro-mecanico/p/MCO2020124081#polycard_client=search-nordic&amp;search_layout=stack&amp;position=6&amp;type=product&amp;tracking_id=5be81517-1d1c-435e-a59f-5a87583cee88&amp;wid=MCO1597090499&amp;sid=search</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</si>
  <si>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</si>
  <si>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</si>
  <si>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</si>
  <si>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</si>
  <si>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t>Disco Duro Mecánico Iii Con Interfaz De Disco Duro Mecánico</t>
  </si>
  <si>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</si>
  <si>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</si>
  <si>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</si>
  <si>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</si>
  <si>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Disco duro mecánico III de 2,5 pulgadas, disco duro portátil, 500 GB, 8 MB de caché, 5400 rpm, disco duro para portátil</t>
  </si>
  <si>
    <t>Falabella</t>
  </si>
  <si>
    <t>https://www.falabella.com.co/falabella-co/product/121185712/DISCO-DURO-DE-500GB-WESTER-DIGITAL-SEAGATE-PULL-DVR-PC/121185714</t>
  </si>
  <si>
    <t>https://www.mercadolibre.com.co/servidor-dell-poweredge-2650/up/MCOU3371747215#polycard_client=search-nordic&amp;search_layout=stack&amp;position=3&amp;type=product&amp;tracking_id=a9fcd3c0-9f1f-45b2-9d73-6f6337288954&amp;wid=MCO3052473342&amp;sid=search</t>
  </si>
  <si>
    <t>DISCO DURO DE 500GB WESTER DIGITAL SEAGATE PULL DVR PC</t>
  </si>
  <si>
    <t>Capacidad de almacenamiento 500 GB  Disco duro interno PC DVR Interfaz sata de 6 gb/seg</t>
  </si>
  <si>
    <t>Servidor Dell Poweredge 2650 730 Gb 12 Gb N/a (Usado)</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</si>
  <si>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</si>
  <si>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</si>
  <si>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Procesador: Intel Xeon de cuatro núcleos a 2.0 GHz Memoria RAM: 2 GB (512MBx4), Expansible 12GB</t>
  </si>
  <si>
    <t>Lasus</t>
  </si>
  <si>
    <t>https://lasus.com.co/es/dell-480gb-ssd-sata-read-intensive-6gbps</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</si>
  <si>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</si>
  <si>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</si>
  <si>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</si>
  <si>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</si>
  <si>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</si>
  <si>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</si>
  <si>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t>Dell 480GB SSD SATA Read Intensive 6Gbps</t>
  </si>
  <si>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</si>
  <si>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</si>
  <si>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https://www.mercadolibre.com.co/memoria-ram-ddr3-2gb-1333mhz-skyd/p/MCO20722189#polycard_client=search-nordic&amp;search_layout=stack&amp;position=48&amp;type=product&amp;tracking_id=74a7eee1-1c58-47cd-b678-991c56dffb27&amp;wid=MCO1592667311&amp;sid=search</t>
  </si>
  <si>
    <t>ofrece un rendimiento excepcional con una velocidad de lectura intensiva de 6Gbps. Con formato 512e y compatible con servidores R450-R650</t>
  </si>
  <si>
    <t>https://articulo.mercadolibre.com.co/MCO-1317854809-cpu-dell-optiplex-5090-core-i5-10ma-gen-8gb-512gb-open-box-_JM?variation=#reco_item_pos=0&amp;reco_backend=pads-retrieval-model-odin_marketplace&amp;reco_backend_type=&amp;reco_client=vip-pads-up&amp;reco_id=4ba4c990-688a-4e14-ba09-aa8d43e7531a&amp;is_advertising=true&amp;ad_domain=VIPDESKTOP_UP&amp;ad_position=1&amp;ad_click_id=ZGYxNDliOTItZTMyNC00Y2ViLThhN2ItYWFkYmMzNDY0NTli</t>
  </si>
  <si>
    <t>Memoria Ram Ddr3 2gb 1333mhz Skyd</t>
  </si>
  <si>
    <t>Cpu Dell Optiplex 5090 Core I5 10ma Gen 8gb 512gb Open Box</t>
  </si>
  <si>
    <r>
      <rPr>
        <rFont val="Trebuchet MS"/>
        <b/>
        <color theme="1"/>
        <sz val="10.0"/>
      </rPr>
      <t>Empresa</t>
    </r>
    <r>
      <rPr>
        <rFont val="Trebuchet MS"/>
        <b val="0"/>
        <i/>
        <color theme="1"/>
        <sz val="8.0"/>
      </rPr>
      <t xml:space="preserve">
(Nombre fiscal de la empresa)</t>
    </r>
  </si>
  <si>
    <t>EQUIPO PERFECTO PARA TRANSMITIR COMO WEBCAM EN 2 O 3 PAGINAS AL MISMO TIEMPO !</t>
  </si>
  <si>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</si>
  <si>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</si>
  <si>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</si>
  <si>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</si>
  <si>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</si>
  <si>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</si>
  <si>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</si>
  <si>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</si>
  <si>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</si>
  <si>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https://www.mercadolibre.com.co/tarjeta-grafica-geforce-gtx960-gddr5-de-4-gb-28-nm-1140-mh/p/MCO2017619686?pdp_filters=item_id%3AMCO2816869380#is_advertising=true&amp;searchVariation=MCO2017619686&amp;backend_model=search-backend&amp;position=1&amp;search_layout=stack&amp;type=pad&amp;tracking_id=1759af95-6ae8-431f-b990-3a1f7535cec7&amp;ad_domain=VQCATCORE_LST&amp;ad_position=1&amp;ad_click_id=YTVjZDM4NmYtZTdkNS00NDgzLTllNGEtYmFmZmRlMWUzOTNm</t>
  </si>
  <si>
    <t>Capacidad: 2GB Tecnología: DDR3  Tasa de trasferencia: 10600 - 10700 MB/S</t>
  </si>
  <si>
    <t xml:space="preserve">CLONES Y PERIFERICOS </t>
  </si>
  <si>
    <t>https://clonesyperifericos.com/comprar/memoria-ram-adata-para-portatil-8gb-3200mhz/</t>
  </si>
  <si>
    <t>Tarjeta Gráfica Geforce Gtx960 Gddr5 De 4 Gb, 28 Nm, 1140 Mh</t>
  </si>
  <si>
    <t>Memoria Ram Adata Para Portatil 8gb 3200mhz</t>
  </si>
  <si>
    <t>Tipo de memoria : DDR4 Estándar : JEDEC Número de pines : 260 clavijas</t>
  </si>
  <si>
    <t>capacidad de memoria: 4 GB GDDR5 Interfaz de alimentación: 6 pines</t>
  </si>
  <si>
    <t>SYM computer</t>
  </si>
  <si>
    <t>https://clonesyperifericos.com/comprar/tarjeta-de-video-msi-gt-710-2g-d3-lp/</t>
  </si>
  <si>
    <t>https://symcomputadores.com/producto/memoria-ram-kingston-ddr3-4gb-pc-1333/</t>
  </si>
  <si>
    <t>Tarjeta de Video MSI GT 710 2G D3 LP</t>
  </si>
  <si>
    <t xml:space="preserve">MEMORIA RAM Attech DDR4 16 GB 2666 MHz SODIMM para portátil. Frecuencia: 2666 MHz, capacidad: 16 GB.
</t>
  </si>
  <si>
    <t>DDR3 de 2 GB. Reloj de memoria: 1600 MHz. Interfaz de memoria: 64 bits</t>
  </si>
  <si>
    <t>Speed logic</t>
  </si>
  <si>
    <t>https://speedlogic.com.co/categoria/tarjetas-graficas/?orderby=price&amp;srsltid=AfmBOook9GQzueHiWQ31BHjHh8ajuhXeiIiunuQLkoEWqNqR6gDOxe4k</t>
  </si>
  <si>
    <t>es un módulo diseñado para mejorar el rendimiento de equipos de escritorio. Ofrece mayor velocidad de procesamiento y una respuesta más ágil en aplicaciones básicas, multitarea ligera</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</si>
  <si>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</si>
  <si>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t>Tarjeta De Video Nvidia Geforce Msi Gef Rtx 3050 Ventus 2x Oc 6 Gigas</t>
  </si>
  <si>
    <t xml:space="preserve"> Rendimiento que mantiene lo esencial para realizar cualquier tarea que se presente. Una potente disposición de doble ventilador integrada</t>
  </si>
  <si>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</si>
  <si>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</si>
  <si>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</si>
  <si>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</si>
  <si>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</si>
  <si>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</si>
  <si>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</si>
  <si>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</si>
  <si>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</si>
  <si>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</si>
  <si>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</si>
  <si>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Procesador AMD Ryzen 5 5600T 4.5Ghz</t>
  </si>
  <si>
    <t>Speed Logic</t>
  </si>
  <si>
    <t>Procesador Intel Core I5 12400f 2,5-18m-6 Cor Xii Generación No Video</t>
  </si>
  <si>
    <t>Intel® Core™ i5 de 12ᵃ Generación, 4.40 GHz, 128 GB, 6 núcleos, 12 subprocesos.</t>
  </si>
  <si>
    <r>
      <rPr>
        <rFont val="Trebuchet MS"/>
        <b/>
        <color theme="1"/>
        <sz val="10.0"/>
      </rPr>
      <t>Empresa</t>
    </r>
    <r>
      <rPr>
        <rFont val="Trebuchet MS"/>
        <b val="0"/>
        <i/>
        <color theme="1"/>
        <sz val="8.0"/>
      </rPr>
      <t xml:space="preserve">
(Nombre fiscal de la empresa)</t>
    </r>
  </si>
  <si>
    <r>
      <rPr>
        <rFont val="Arial"/>
        <b/>
        <color theme="1"/>
        <sz val="10.0"/>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</si>
  <si>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</si>
  <si>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</si>
  <si>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</si>
  <si>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</si>
  <si>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</si>
  <si>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</si>
  <si>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</si>
  <si>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</si>
  <si>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articulo.mercadolibre.com.co/MCO-2815806162-base-teclado-inalambrico-bluetooth-y-wirelees-mouse-tactil-_JM?searchVariation=182898995984#is_advertising=true&amp;searchVariation=182898995984&amp;backend_model=search-backend&amp;position=11&amp;search_layout=stack&amp;type=pad&amp;tracking_id=45ca264e-430f-4f4c-b7a0-a9545dccc755&amp;ad_domain=VQCATCORE_LST&amp;ad_position=11&amp;ad_click_id=MTJiZDdlZmMtODdlNS00NTgzLThkZmMtNmFhYTM1YThmM2Q2</t>
  </si>
  <si>
    <t>Base Teclado Inalámbrico Bluetooth Y Wirelees Mouse Táctil</t>
  </si>
  <si>
    <t>X-alta, QWERTY, receptor USB de wireless 2.4Gh, iOS, Android, Windows.</t>
  </si>
  <si>
    <t xml:space="preserve"> </t>
  </si>
  <si>
    <t>HP</t>
  </si>
  <si>
    <t>https://www.hp.com/co-es/shop/teclado-inalambrico-hp-350-692s8aa.html?facetref=9acc23b722f56b81</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</si>
  <si>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</si>
  <si>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</si>
  <si>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</si>
  <si>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</si>
  <si>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</si>
  <si>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i/>
        <color theme="1"/>
        <sz val="8.0"/>
      </rPr>
      <t>(moneda extranjera)</t>
    </r>
  </si>
  <si>
    <t>Teclado Inalámbrico HP 350 Compacto Multi-device</t>
  </si>
  <si>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</si>
  <si>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</si>
  <si>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Conexión inalámbrica con hasta 3 dispositivos mediante Bluetooth® 5.2, Mac®, Windows®.</t>
  </si>
  <si>
    <t>Alkosto</t>
  </si>
  <si>
    <t>https://www.alkosto.com/teclado-esenses-basico-usb/p/7707278170994</t>
  </si>
  <si>
    <t>https://lasus.com.co/es/mouse-inalambrico-genius-nx-8006s-negro-silencioso-y-compatible?srsltid=AfmBOooONUJiZVxOLWiLD02rTUjMAAU3PZqr6OLbfHz7pbWltxMYc5V2yLk</t>
  </si>
  <si>
    <t>Teclado ESENSES Básico USB</t>
  </si>
  <si>
    <t>Compatible con Cualquier Sistema Operativo, USB, No Requiere Baterías</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</si>
  <si>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</si>
  <si>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t>Mouse Inalámbrico GENIUS NX-8006S - Negro, Silencioso y Compatible</t>
  </si>
  <si>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</si>
  <si>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</si>
  <si>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</si>
  <si>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</si>
  <si>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</si>
  <si>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</si>
  <si>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t>Cable de 150 cm, 1000 Dpi, Ambidiestro, No Requiere Pilas o Baterías.</t>
  </si>
  <si>
    <t>https://www.mercadolibre.com.co/mouse-inalambrico-maxell-usb-c-8001600-dpi-color-negro/p/MCO47847176?pdp_filters=item_id:MCO1568037819#is_advertising=true&amp;searchVariation=MCO47847176&amp;backend_model=search-backend&amp;position=6&amp;search_layout=stack&amp;type=pad&amp;tracking_id=36fea3ab-b3d6-4085-a96d-d95ecf119577&amp;ad_domain=VQCATCORE_LST&amp;ad_position=6&amp;ad_click_id=ZTBiMjg1OTYtY2QyNC00ZDY4LWJjMzgtM2M3NjQ1MmM5OWYy</t>
  </si>
  <si>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</si>
  <si>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</si>
  <si>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</si>
  <si>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Mouse Inalámbrico Maxell Usb-c 800/1600 Dpi Color Negro</t>
  </si>
  <si>
    <t xml:space="preserve">SYSTORE COLOMBIA </t>
  </si>
  <si>
    <t>https://systorecolombia.com/windows/849-microsoft-windows-11-profesional-a-64-bits-oem-fqc-10552.html</t>
  </si>
  <si>
    <t>Conectividad inalámbrica 2.4GHz, Incluye batería Maxell, Sensor óptico 1600 dpi.</t>
  </si>
  <si>
    <t>https://www.falabella.com.co/falabella-co/product/72841171/Mouse-HP-Bluetooth/72841171</t>
  </si>
  <si>
    <t>Mouse HP Bluetooth</t>
  </si>
  <si>
    <t>Microsoft Windows 11 Profesional a 64 Bits Oem FQC-10552</t>
  </si>
  <si>
    <t xml:space="preserve">HP Z3700 Dual Mouse JackBlack, USB-A a 2,4 GHz o Bluetooth® 5.0+, </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</si>
  <si>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</si>
  <si>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</si>
  <si>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 xml:space="preserve">Diseñado para el mundo del trabajo híbrido, Windows 11 puede ayudarlo a trabajar de manera más simple y sin problemas desde cualquier lugar. Compre y descargue Windows 11 para profesionales para disfrutar:
</t>
  </si>
  <si>
    <t>Windows 11 Home OEM</t>
  </si>
  <si>
    <t>Activación permanente para 1 dispositivo. Ideal para laptops y PCs de uso cotidiano. Compatible con sistemas de 32 y 64 bits. Clave de activación alfanumérica de 25 caracteres</t>
  </si>
  <si>
    <t>Colombia keys</t>
  </si>
  <si>
    <t>https://colombiakeys.com/producto/office-2021-pro-plus/</t>
  </si>
  <si>
    <t>Office 2021 Pro Plus</t>
  </si>
  <si>
    <r>
      <rPr>
        <rFont val="Trebuchet MS"/>
        <b/>
        <color theme="1"/>
        <sz val="10.0"/>
      </rPr>
      <t>Empresa</t>
    </r>
    <r>
      <rPr>
        <rFont val="Trebuchet MS"/>
        <b val="0"/>
        <i/>
        <color theme="1"/>
        <sz val="8.0"/>
      </rPr>
      <t xml:space="preserve">
(Nombre fiscal de la empresa)</t>
    </r>
  </si>
  <si>
    <t>Activa 1 dispositivo de manera permanente. Pago único, sin suscripción anual.</t>
  </si>
  <si>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</si>
  <si>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</si>
  <si>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</si>
  <si>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</si>
  <si>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</si>
  <si>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</si>
  <si>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</si>
  <si>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Microsoft</t>
  </si>
  <si>
    <t>https://www.microsoft.com/en-us/d/visual-studio-professional-subscription/dg7gmgf0dst3/0001?activetab=pivot:overviewtab</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</si>
  <si>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</si>
  <si>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</si>
  <si>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Visual Studio Estándar Professional</t>
  </si>
  <si>
    <r>
      <rPr>
        <rFont val="Arial"/>
        <b/>
        <color rgb="FF000000"/>
        <sz val="10.0"/>
      </rPr>
      <t>Suscripción anual</t>
    </r>
    <r>
      <rPr>
        <rFont val="Arial"/>
        <color rgb="FF000000"/>
        <sz val="10.0"/>
      </rPr>
      <t>, Visual Studio 2022 Professional, Azure DevOps (plan básico), 50 USD de crédito de Azure al mes, Software básico de desarrollo y pruebas, Entrenamiento y soporte técnico.</t>
    </r>
  </si>
  <si>
    <t>Visual Studio Code</t>
  </si>
  <si>
    <t>https://code.visualstudio.com/</t>
  </si>
  <si>
    <t>Microsoft Visual Studio Code</t>
  </si>
  <si>
    <t>Entorno completo de desarrollo: integra codificación, compilación, depuración y publicación.</t>
  </si>
  <si>
    <t>3Clics</t>
  </si>
  <si>
    <t>https://3clics.co/index.php/es/otros-softwares/editor-de-codigo/licencia-visual-studio-2022-detail</t>
  </si>
  <si>
    <t>Licencia Visual Studio 2022</t>
  </si>
  <si>
    <r>
      <rPr>
        <rFont val="Arial"/>
        <color rgb="FF000000"/>
        <sz val="10.0"/>
      </rPr>
      <t xml:space="preserve">(Precio Individual: 117.840) Visual Studio 2022, activa el software original para </t>
    </r>
    <r>
      <rPr>
        <rFont val="Arial"/>
        <b/>
        <color rgb="FF000000"/>
        <sz val="10.0"/>
      </rPr>
      <t>1 Usuario</t>
    </r>
    <r>
      <rPr>
        <rFont val="Arial"/>
        <color rgb="FF000000"/>
        <sz val="10.0"/>
      </rPr>
      <t xml:space="preserve">, por </t>
    </r>
    <r>
      <rPr>
        <rFont val="Arial"/>
        <b/>
        <color rgb="FF000000"/>
        <sz val="10.0"/>
      </rPr>
      <t>tiempo indefinido</t>
    </r>
    <r>
      <rPr>
        <rFont val="Arial"/>
        <color rgb="FF000000"/>
        <sz val="10.0"/>
      </rPr>
      <t>, activación original por internet, garantía y soporte técnico, manual de instalación.</t>
    </r>
  </si>
  <si>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</si>
  <si>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</si>
  <si>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</si>
  <si>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</si>
  <si>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</si>
  <si>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</si>
  <si>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</si>
  <si>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</si>
  <si>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</si>
  <si>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</si>
  <si>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LASUS</t>
  </si>
  <si>
    <t>https://www.microsoft.com/es-co/</t>
  </si>
  <si>
    <t xml:space="preserve">Licencia Windows 11 Pro ESD Vitalicia
</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</si>
  <si>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</si>
  <si>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</si>
  <si>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</si>
  <si>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</si>
  <si>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</si>
  <si>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</si>
  <si>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</si>
  <si>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</si>
  <si>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 xml:space="preserve">BUHO DIGITAL </t>
  </si>
  <si>
    <t>https://buhodigitalcol.com/sql-server-2019/?gad_source=1&amp;gad_campaignid=20819184457&amp;gbraid=0AAAAAqHi9t-RLaO9Guevoc442Pqqv1Bal&amp;gclid=Cj0KCQjwsPzHBhDCARIsALlWNG0OH4y6DpkZw3NQXOXLV42dJbFWIYr4pBLY6agKZBnNg2MKvpng4zgaAnwqEALw_wcB</t>
  </si>
  <si>
    <t>SQL Server 2019</t>
  </si>
  <si>
    <t xml:space="preserve">Licencia digital (Serial de 25 dígitos) con las que podrás activar Microsoft SQL SERVER 2019 de forma permanente. </t>
  </si>
  <si>
    <t>MICROSOFT</t>
  </si>
  <si>
    <t>https://www.microsoft.com/es-es/sql-server/sql-server-downloads</t>
  </si>
  <si>
    <t>SQL Server Express</t>
  </si>
  <si>
    <t>Licencia Windows 11 Single Language</t>
  </si>
  <si>
    <t>Puedes usarla sin pagar licencias, incluso para proyectos comerciales pequeños.Incluye las funciones esenciales del motor SQL (consultas, transacciones, seguridad, vistas, procedimientos, triggers)</t>
  </si>
  <si>
    <t>KEY XPRESS</t>
  </si>
  <si>
    <t>https://www.keyxpress-colombia.com/licencia-sql-server-2019-standard-online</t>
  </si>
  <si>
    <t>Ideal para negocios y usuarios que necesitan control de red, escritorio remoto o virtualización</t>
  </si>
  <si>
    <t>WINDOWS 11 HOME</t>
  </si>
  <si>
    <t>El sistema operativo primordial del los computadores que se usaran para el desarrollo del sistema web</t>
  </si>
  <si>
    <t>Licencia SQL Server 2019 Standard Online</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</si>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</sst>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_-[$$-240A]\ * #,##0.00_-;\-[$$-240A]\ * #,##0.00_-;_-[$$-240A]\ * &quot;-&quot;??_-;_-@"/>
    <numFmt numFmtId="165" formatCode="_([$$-409]* #,##0.00_);_([$$-409]* \(#,##0.00\);_([$$-409]* &quot;-&quot;??_);_(@_)"/>
    <numFmt numFmtId="166" formatCode="_-[$$-409]* #,##0.00_ ;_-[$$-409]* \-#,##0.00\ ;_-[$$-409]* &quot;-&quot;??_ ;_-@_ "/>
    <numFmt numFmtId="167" formatCode="&quot;$&quot;#,##0.00_);[Red]\(&quot;$&quot;#,##0.00\)"/>
    <numFmt numFmtId="168" formatCode="&quot;$&quot;#,##0_);[Red]\(&quot;$&quot;#,##0\)"/>
    <numFmt numFmtId="169" formatCode="_(&quot;$&quot;* #,##0.00_);_(&quot;$&quot;* \(#,##0.00\);_(&quot;$&quot;* &quot;-&quot;??_);_(@_)"/>
    <numFmt numFmtId="170" formatCode="_-* #,##0.00_-;\-* #,##0.00_-;_-* &quot;-&quot;??_-;_-@"/>
  </numFmts>
  <fonts count="55">
    <font>
      <sz val="10.0"/>
      <color rgb="FF000000"/>
      <name val="Arial"/>
      <scheme val="minor"/>
    </font>
    <font>
      <sz val="10.0"/>
      <color theme="1"/>
      <name val="Arial"/>
    </font>
    <font>
      <b/>
      <sz val="12.0"/>
      <color theme="1"/>
      <name val="Arial"/>
    </font>
    <font/>
    <font>
      <b/>
      <sz val="10.0"/>
      <color theme="1"/>
      <name val="Arial"/>
    </font>
    <font>
      <b/>
      <sz val="10.0"/>
      <color theme="1"/>
      <name val="Trebuchet MS"/>
    </font>
    <font>
      <b/>
      <u/>
      <sz val="10.0"/>
      <color theme="1"/>
      <name val="Arial"/>
    </font>
    <font>
      <b/>
      <u/>
      <sz val="10.0"/>
      <color theme="1"/>
      <name val="Trebuchet MS"/>
    </font>
    <font>
      <b/>
      <u/>
      <sz val="10.0"/>
      <color theme="1"/>
      <name val="Trebuchet MS"/>
    </font>
    <font>
      <i/>
      <sz val="10.0"/>
      <color theme="1"/>
      <name val="Arial"/>
    </font>
    <font>
      <sz val="10.0"/>
      <color rgb="FF000000"/>
      <name val="Arial"/>
    </font>
    <font>
      <sz val="10.0"/>
      <color rgb="FF000000"/>
      <name val="Trebuchet MS"/>
    </font>
    <font>
      <b/>
      <u/>
      <sz val="10.0"/>
      <color theme="1"/>
      <name val="Trebuchet MS"/>
    </font>
    <font>
      <u/>
      <sz val="10.0"/>
      <color rgb="FF0000FF"/>
      <name val="Arial"/>
    </font>
    <font>
      <u/>
      <sz val="10.0"/>
      <color rgb="FF0000FF"/>
      <name val="Arial"/>
    </font>
    <font>
      <u/>
      <sz val="10.0"/>
      <color rgb="FF0000FF"/>
      <name val="Arial"/>
    </font>
    <font>
      <u/>
      <sz val="10.0"/>
      <color rgb="FF000000"/>
      <name val="Arial"/>
    </font>
    <font>
      <sz val="10.0"/>
      <color rgb="FF231F20"/>
      <name val="Arial"/>
    </font>
    <font>
      <u/>
      <sz val="10.0"/>
      <color theme="1"/>
      <name val="Arial"/>
    </font>
    <font>
      <sz val="10.0"/>
      <color rgb="FF231F20"/>
      <name val="Trebuchet MS"/>
    </font>
    <font>
      <u/>
      <sz val="10.0"/>
      <color rgb="FF0000FF"/>
      <name val="Arial"/>
    </font>
    <font>
      <u/>
      <sz val="10.0"/>
      <color rgb="FF000000"/>
      <name val="Arial"/>
    </font>
    <font>
      <u/>
      <sz val="10.0"/>
      <color rgb="FF0000FF"/>
      <name val="Arial"/>
    </font>
    <font>
      <sz val="10.0"/>
      <color theme="1"/>
      <name val="Trebuchet MS"/>
    </font>
    <font>
      <u/>
      <sz val="10.0"/>
      <color theme="1"/>
      <name val="Arial"/>
    </font>
    <font>
      <sz val="10.0"/>
      <color theme="1"/>
      <name val="Arial Narrow"/>
    </font>
    <font>
      <sz val="10.0"/>
      <color rgb="FF222222"/>
      <name val="Arial"/>
    </font>
    <font>
      <u/>
      <sz val="10.0"/>
      <color theme="1"/>
      <name val="Arial"/>
    </font>
    <font>
      <sz val="10.0"/>
      <color rgb="FF0000FF"/>
      <name val="Arial"/>
    </font>
    <font>
      <u/>
      <sz val="10.0"/>
      <color theme="10"/>
      <name val="Arial"/>
    </font>
    <font>
      <sz val="10.0"/>
      <color rgb="FF666666"/>
      <name val="Arial"/>
    </font>
    <font>
      <sz val="10.0"/>
      <color theme="10"/>
      <name val="Arial"/>
    </font>
    <font>
      <u/>
      <sz val="10.0"/>
      <color rgb="FF0000FF"/>
      <name val="Arial"/>
    </font>
    <font>
      <u/>
      <sz val="10.0"/>
      <color theme="10"/>
      <name val="Arial"/>
    </font>
    <font>
      <color theme="1"/>
      <name val="Arial"/>
      <scheme val="minor"/>
    </font>
    <font>
      <u/>
      <sz val="10.0"/>
      <color theme="1"/>
      <name val="Arial"/>
    </font>
    <font>
      <u/>
      <sz val="10.0"/>
      <color theme="1"/>
      <name val="Arial"/>
    </font>
    <font>
      <u/>
      <sz val="10.0"/>
      <color rgb="FF0000FF"/>
      <name val="Arial"/>
    </font>
    <font>
      <sz val="10.0"/>
      <color rgb="FF444444"/>
      <name val="Arial"/>
    </font>
    <font>
      <u/>
      <sz val="10.0"/>
      <color rgb="FF000000"/>
      <name val="Arial"/>
    </font>
    <font>
      <u/>
      <sz val="10.0"/>
      <color rgb="FF000000"/>
      <name val="Arial"/>
    </font>
    <font>
      <sz val="10.0"/>
      <color rgb="FF0F1111"/>
      <name val="Arial"/>
    </font>
    <font>
      <u/>
      <sz val="10.0"/>
      <color rgb="FF000000"/>
      <name val="Arial"/>
    </font>
    <font>
      <u/>
      <sz val="10.0"/>
      <color theme="10"/>
      <name val="Arial"/>
    </font>
    <font>
      <b/>
      <u/>
      <sz val="10.0"/>
      <color theme="1"/>
      <name val="Trebuchet MS"/>
    </font>
    <font>
      <u/>
      <sz val="10.0"/>
      <color theme="1"/>
      <name val="Arial"/>
    </font>
    <font>
      <u/>
      <sz val="10.0"/>
      <color theme="1"/>
      <name val="Arial"/>
    </font>
    <font>
      <u/>
      <sz val="10.0"/>
      <color rgb="FF0000FF"/>
      <name val="Arial"/>
    </font>
    <font>
      <u/>
      <sz val="10.0"/>
      <color theme="1"/>
      <name val="Arial"/>
    </font>
    <font>
      <u/>
      <sz val="10.0"/>
      <color theme="1"/>
      <name val="Arial"/>
    </font>
    <font>
      <u/>
      <sz val="10.0"/>
      <color theme="1"/>
      <name val="Arial"/>
    </font>
    <font>
      <u/>
      <sz val="10.0"/>
      <color theme="1"/>
      <name val="Arial"/>
    </font>
    <font>
      <u/>
      <sz val="10.0"/>
      <color theme="1"/>
      <name val="Arial"/>
    </font>
    <font>
      <u/>
      <sz val="10.0"/>
      <color rgb="FF000000"/>
      <name val="Arial"/>
    </font>
    <font>
      <u/>
      <sz val="10.0"/>
      <color rgb="FF000000"/>
      <name val="Arial"/>
    </font>
  </fonts>
  <fills count="9">
    <fill>
      <patternFill patternType="none"/>
    </fill>
    <fill>
      <patternFill patternType="lightGray"/>
    </fill>
    <fill>
      <patternFill patternType="solid">
        <fgColor rgb="FFC0C0C0"/>
        <bgColor rgb="FFC0C0C0"/>
      </patternFill>
    </fill>
    <fill>
      <patternFill patternType="solid">
        <fgColor rgb="FFFFFF99"/>
        <bgColor rgb="FFFFFF99"/>
      </patternFill>
    </fill>
    <fill>
      <patternFill patternType="solid">
        <fgColor rgb="FFFFCC00"/>
        <bgColor rgb="FFFFCC00"/>
      </patternFill>
    </fill>
    <fill>
      <patternFill patternType="solid">
        <fgColor rgb="FFCCFFCC"/>
        <bgColor rgb="FFCCFFCC"/>
      </patternFill>
    </fill>
    <fill>
      <patternFill patternType="solid">
        <fgColor rgb="FFFFFFFF"/>
        <bgColor rgb="FFFFFFFF"/>
      </patternFill>
    </fill>
    <fill>
      <patternFill patternType="solid">
        <fgColor rgb="FFFFF2CC"/>
        <bgColor rgb="FFFFF2CC"/>
      </patternFill>
    </fill>
    <fill>
      <patternFill patternType="solid">
        <fgColor rgb="FFF5F5F5"/>
        <bgColor rgb="FFF5F5F5"/>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
      <left style="thin">
        <color rgb="FF000000"/>
      </left>
      <right/>
      <top style="thin">
        <color rgb="FF000000"/>
      </top>
      <bottom/>
    </border>
    <border>
      <left style="thin">
        <color rgb="FF000000"/>
      </left>
      <right/>
      <top style="thin">
        <color rgb="FF000000"/>
      </top>
    </border>
    <border>
      <top style="thin">
        <color rgb="FF000000"/>
      </top>
    </border>
    <border>
      <left/>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166">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vertical="center"/>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3" fontId="4" numFmtId="0" xfId="0" applyAlignment="1" applyBorder="1" applyFill="1" applyFont="1">
      <alignment horizontal="center" shrinkToFit="0" vertical="center" wrapText="1"/>
    </xf>
    <xf borderId="4" fillId="0" fontId="4" numFmtId="0" xfId="0" applyAlignment="1" applyBorder="1" applyFont="1">
      <alignment horizontal="center" shrinkToFit="0" vertical="center" wrapText="1"/>
    </xf>
    <xf borderId="5" fillId="0" fontId="5" numFmtId="0" xfId="0" applyAlignment="1" applyBorder="1" applyFont="1">
      <alignment horizontal="center" shrinkToFit="0" vertical="center" wrapText="1"/>
    </xf>
    <xf borderId="4" fillId="0" fontId="5" numFmtId="0" xfId="0" applyAlignment="1" applyBorder="1" applyFont="1">
      <alignment horizontal="center" shrinkToFit="0" vertical="center" wrapText="1"/>
    </xf>
    <xf borderId="4" fillId="4" fontId="6" numFmtId="0" xfId="0" applyAlignment="1" applyBorder="1" applyFill="1" applyFont="1">
      <alignment horizontal="center" shrinkToFit="0" vertical="center" wrapText="1"/>
    </xf>
    <xf borderId="6" fillId="4" fontId="7" numFmtId="0" xfId="0" applyAlignment="1" applyBorder="1" applyFill="1" applyFont="1">
      <alignment horizontal="center" shrinkToFit="0" vertical="center" wrapText="1"/>
    </xf>
    <xf borderId="7" fillId="5" fontId="4" numFmtId="0" xfId="0" applyAlignment="1" applyBorder="1" applyFill="1" applyFont="1">
      <alignment horizontal="center" shrinkToFit="0" vertical="center" wrapText="1"/>
    </xf>
    <xf borderId="4" fillId="4" fontId="8" numFmtId="0" xfId="0" applyAlignment="1" applyBorder="1" applyFill="1" applyFont="1">
      <alignment horizontal="center" shrinkToFit="0" vertical="center" wrapText="1"/>
    </xf>
    <xf borderId="8" fillId="5" fontId="4" numFmtId="0" xfId="0" applyAlignment="1" applyBorder="1" applyFill="1" applyFont="1">
      <alignment horizontal="center" shrinkToFit="0" vertical="center" wrapText="1"/>
    </xf>
    <xf borderId="0" fillId="0" fontId="9" numFmtId="0" xfId="0" applyAlignment="1" applyFont="1">
      <alignment horizontal="center" vertical="center"/>
    </xf>
    <xf borderId="1" fillId="0" fontId="10" numFmtId="0" xfId="0" applyAlignment="1" applyBorder="1" applyFont="1">
      <alignment horizontal="center" readingOrder="0" shrinkToFit="0" vertical="center" wrapText="1"/>
    </xf>
    <xf borderId="4" fillId="0" fontId="4" numFmtId="0" xfId="0" applyAlignment="1" applyBorder="1" applyFont="1">
      <alignment horizontal="center" vertical="center"/>
    </xf>
    <xf borderId="1" fillId="0" fontId="4" numFmtId="0" xfId="0" applyAlignment="1" applyBorder="1" applyFont="1">
      <alignment horizontal="center" vertical="center"/>
    </xf>
    <xf borderId="4" fillId="0" fontId="10" numFmtId="0" xfId="0" applyAlignment="1" applyBorder="1" applyFont="1">
      <alignment horizontal="center" readingOrder="0" shrinkToFit="0" vertical="center" wrapText="1"/>
    </xf>
    <xf borderId="4" fillId="0" fontId="11" numFmtId="0" xfId="0" applyAlignment="1" applyBorder="1" applyFont="1">
      <alignment horizontal="center" shrinkToFit="0" vertical="center" wrapText="1"/>
    </xf>
    <xf borderId="6" fillId="3" fontId="4" numFmtId="0" xfId="0" applyAlignment="1" applyBorder="1" applyFill="1" applyFont="1">
      <alignment horizontal="center" shrinkToFit="0" vertical="center" wrapText="1"/>
    </xf>
    <xf borderId="5" fillId="4" fontId="12" numFmtId="0" xfId="0" applyAlignment="1" applyBorder="1" applyFill="1" applyFont="1">
      <alignment horizontal="center" shrinkToFit="0" vertical="center" wrapText="1"/>
    </xf>
    <xf borderId="4" fillId="0" fontId="13" numFmtId="0" xfId="0" applyAlignment="1" applyBorder="1" applyFont="1">
      <alignment horizontal="center" readingOrder="0" shrinkToFit="0" vertical="center" wrapText="1"/>
    </xf>
    <xf borderId="9" fillId="5" fontId="4" numFmtId="0" xfId="0" applyAlignment="1" applyBorder="1" applyFill="1" applyFont="1">
      <alignment horizontal="center" shrinkToFit="0" vertical="center" wrapText="1"/>
    </xf>
    <xf borderId="4" fillId="6" fontId="10" numFmtId="0" xfId="0" applyAlignment="1" applyBorder="1" applyFill="1" applyFont="1">
      <alignment horizontal="center" readingOrder="0" shrinkToFit="0" vertical="center" wrapText="1"/>
    </xf>
    <xf borderId="10" fillId="6" fontId="10" numFmtId="164" xfId="0" applyAlignment="1" applyBorder="1" applyFill="1" applyFont="1" applyNumberFormat="1">
      <alignment readingOrder="0" vertical="center"/>
    </xf>
    <xf borderId="4" fillId="0" fontId="14" numFmtId="0" xfId="0" applyAlignment="1" applyBorder="1" applyFont="1">
      <alignment horizontal="center" readingOrder="0" shrinkToFit="0" vertical="center" wrapText="1"/>
    </xf>
    <xf borderId="4" fillId="0" fontId="1" numFmtId="164" xfId="0" applyAlignment="1" applyBorder="1" applyFont="1" applyNumberFormat="1">
      <alignment horizontal="center" readingOrder="0" shrinkToFit="0" vertical="center" wrapText="1"/>
    </xf>
    <xf borderId="4" fillId="6" fontId="10" numFmtId="164" xfId="0" applyAlignment="1" applyBorder="1" applyFill="1" applyFont="1" applyNumberFormat="1">
      <alignment horizontal="center" shrinkToFit="0" vertical="center" wrapText="1"/>
    </xf>
    <xf borderId="4" fillId="0" fontId="1" numFmtId="164" xfId="0" applyAlignment="1" applyBorder="1" applyFont="1" applyNumberFormat="1">
      <alignment horizontal="center" shrinkToFit="0" vertical="center" wrapText="1"/>
    </xf>
    <xf borderId="5" fillId="0" fontId="15" numFmtId="0" xfId="0" applyAlignment="1" applyBorder="1" applyFont="1">
      <alignment readingOrder="0" shrinkToFit="0" vertical="center" wrapText="1"/>
    </xf>
    <xf borderId="4" fillId="0" fontId="1" numFmtId="165" xfId="0" applyAlignment="1" applyBorder="1" applyFont="1" applyNumberFormat="1">
      <alignment horizontal="center" shrinkToFit="0" vertical="center" wrapText="1"/>
    </xf>
    <xf borderId="4" fillId="6" fontId="16" numFmtId="166" xfId="0" applyAlignment="1" applyBorder="1" applyFill="1" applyFont="1" applyNumberFormat="1">
      <alignment horizontal="center" shrinkToFit="0" vertical="center" wrapText="1"/>
    </xf>
    <xf borderId="4" fillId="0" fontId="10" numFmtId="167" xfId="0" applyAlignment="1" applyBorder="1" applyFont="1" applyNumberFormat="1">
      <alignment horizontal="center" readingOrder="0" shrinkToFit="0" vertical="center" wrapText="1"/>
    </xf>
    <xf borderId="4" fillId="0" fontId="10" numFmtId="0" xfId="0" applyAlignment="1" applyBorder="1" applyFont="1">
      <alignment horizontal="center" shrinkToFit="0" vertical="center" wrapText="1"/>
    </xf>
    <xf borderId="4" fillId="0" fontId="17" numFmtId="0" xfId="0" applyAlignment="1" applyBorder="1" applyFont="1">
      <alignment horizontal="center" readingOrder="0" shrinkToFit="0" vertical="center" wrapText="1"/>
    </xf>
    <xf borderId="4" fillId="0" fontId="18" numFmtId="166" xfId="0" applyAlignment="1" applyBorder="1" applyFont="1" applyNumberFormat="1">
      <alignment horizontal="center" shrinkToFit="0" vertical="center" wrapText="1"/>
    </xf>
    <xf borderId="4" fillId="0" fontId="1" numFmtId="0" xfId="0" applyAlignment="1" applyBorder="1" applyFont="1">
      <alignment horizontal="center" readingOrder="0" shrinkToFit="0" vertical="center" wrapText="1"/>
    </xf>
    <xf borderId="11" fillId="6" fontId="1" numFmtId="0" xfId="0" applyAlignment="1" applyBorder="1" applyFill="1" applyFont="1">
      <alignment horizontal="center" readingOrder="0" shrinkToFit="0" vertical="center" wrapText="1"/>
    </xf>
    <xf borderId="4" fillId="7" fontId="1" numFmtId="0" xfId="0" applyAlignment="1" applyBorder="1" applyFill="1" applyFont="1">
      <alignment horizontal="center" vertical="center"/>
    </xf>
    <xf borderId="4" fillId="7" fontId="19" numFmtId="0" xfId="0" applyAlignment="1" applyBorder="1" applyFill="1" applyFont="1">
      <alignment horizontal="center" readingOrder="0" shrinkToFit="0" vertical="center" wrapText="1"/>
    </xf>
    <xf borderId="4" fillId="0" fontId="10" numFmtId="167" xfId="0" applyAlignment="1" applyBorder="1" applyFont="1" applyNumberFormat="1">
      <alignment horizontal="center" shrinkToFit="0" vertical="center" wrapText="1"/>
    </xf>
    <xf borderId="4" fillId="0" fontId="10" numFmtId="164" xfId="0" applyAlignment="1" applyBorder="1" applyFont="1" applyNumberFormat="1">
      <alignment horizontal="center" readingOrder="0" shrinkToFit="0" vertical="center" wrapText="1"/>
    </xf>
    <xf borderId="1" fillId="7" fontId="4" numFmtId="0" xfId="0" applyAlignment="1" applyBorder="1" applyFill="1" applyFont="1">
      <alignment horizontal="center" vertical="center"/>
    </xf>
    <xf borderId="4" fillId="7" fontId="1" numFmtId="0" xfId="0" applyAlignment="1" applyBorder="1" applyFill="1" applyFont="1">
      <alignment horizontal="center" readingOrder="0" shrinkToFit="0" vertical="center" wrapText="1"/>
    </xf>
    <xf borderId="4" fillId="7" fontId="20" numFmtId="0" xfId="0" applyAlignment="1" applyBorder="1" applyFill="1" applyFont="1">
      <alignment readingOrder="0" shrinkToFit="0" vertical="center" wrapText="1"/>
    </xf>
    <xf borderId="4" fillId="7" fontId="10" numFmtId="0" xfId="0" applyAlignment="1" applyBorder="1" applyFill="1" applyFont="1">
      <alignment horizontal="center" readingOrder="0" shrinkToFit="0" vertical="center" wrapText="1"/>
    </xf>
    <xf borderId="4" fillId="7" fontId="4" numFmtId="0" xfId="0" applyAlignment="1" applyBorder="1" applyFill="1" applyFont="1">
      <alignment horizontal="center" shrinkToFit="0" vertical="center" wrapText="1"/>
    </xf>
    <xf borderId="4" fillId="7" fontId="10" numFmtId="164" xfId="0" applyAlignment="1" applyBorder="1" applyFill="1" applyFont="1" applyNumberFormat="1">
      <alignment horizontal="center" readingOrder="0" shrinkToFit="0" vertical="center" wrapText="1"/>
    </xf>
    <xf borderId="4" fillId="7" fontId="10" numFmtId="164" xfId="0" applyAlignment="1" applyBorder="1" applyFill="1" applyFont="1" applyNumberFormat="1">
      <alignment horizontal="center" shrinkToFit="0" vertical="center" wrapText="1"/>
    </xf>
    <xf borderId="4" fillId="7" fontId="1" numFmtId="165" xfId="0" applyAlignment="1" applyBorder="1" applyFill="1" applyFont="1" applyNumberFormat="1">
      <alignment horizontal="center" shrinkToFit="0" vertical="center" wrapText="1"/>
    </xf>
    <xf borderId="1" fillId="7" fontId="10" numFmtId="0" xfId="0" applyAlignment="1" applyBorder="1" applyFill="1" applyFont="1">
      <alignment horizontal="center" readingOrder="0" shrinkToFit="0" vertical="center" wrapText="1"/>
    </xf>
    <xf borderId="4" fillId="7" fontId="21" numFmtId="166" xfId="0" applyAlignment="1" applyBorder="1" applyFill="1" applyFont="1" applyNumberFormat="1">
      <alignment horizontal="center" shrinkToFit="0" vertical="center" wrapText="1"/>
    </xf>
    <xf borderId="4" fillId="7" fontId="10" numFmtId="0" xfId="0" applyAlignment="1" applyBorder="1" applyFill="1" applyFont="1">
      <alignment horizontal="center" shrinkToFit="0" vertical="center" wrapText="1"/>
    </xf>
    <xf borderId="4" fillId="7" fontId="22" numFmtId="0" xfId="0" applyAlignment="1" applyBorder="1" applyFill="1" applyFont="1">
      <alignment horizontal="center" readingOrder="0" shrinkToFit="0" vertical="center" wrapText="1"/>
    </xf>
    <xf borderId="4" fillId="0" fontId="1" numFmtId="0" xfId="0" applyBorder="1" applyFont="1"/>
    <xf borderId="4" fillId="7" fontId="1" numFmtId="164" xfId="0" applyAlignment="1" applyBorder="1" applyFill="1" applyFont="1" applyNumberFormat="1">
      <alignment horizontal="center" readingOrder="0" shrinkToFit="0" vertical="center" wrapText="1"/>
    </xf>
    <xf borderId="12" fillId="0" fontId="23" numFmtId="0" xfId="0" applyAlignment="1" applyBorder="1" applyFont="1">
      <alignment horizontal="left" shrinkToFit="0" vertical="top" wrapText="1"/>
    </xf>
    <xf borderId="4" fillId="7" fontId="1" numFmtId="164" xfId="0" applyAlignment="1" applyBorder="1" applyFill="1" applyFont="1" applyNumberFormat="1">
      <alignment horizontal="center" shrinkToFit="0" vertical="center" wrapText="1"/>
    </xf>
    <xf borderId="4" fillId="6" fontId="1" numFmtId="0" xfId="0" applyAlignment="1" applyBorder="1" applyFill="1" applyFont="1">
      <alignment horizontal="center" readingOrder="0" shrinkToFit="0" vertical="center" wrapText="1"/>
    </xf>
    <xf borderId="4" fillId="7" fontId="24" numFmtId="166" xfId="0" applyAlignment="1" applyBorder="1" applyFill="1" applyFont="1" applyNumberFormat="1">
      <alignment horizontal="center" shrinkToFit="0" vertical="center" wrapText="1"/>
    </xf>
    <xf borderId="1" fillId="0" fontId="4" numFmtId="0" xfId="0" applyAlignment="1" applyBorder="1" applyFont="1">
      <alignment horizontal="left" shrinkToFit="0" vertical="center" wrapText="1"/>
    </xf>
    <xf borderId="11" fillId="7" fontId="1" numFmtId="0" xfId="0" applyAlignment="1" applyBorder="1" applyFill="1" applyFont="1">
      <alignment horizontal="center" shrinkToFit="0" vertical="center" wrapText="1"/>
    </xf>
    <xf borderId="4" fillId="0" fontId="11" numFmtId="0" xfId="0" applyAlignment="1" applyBorder="1" applyFont="1">
      <alignment horizontal="center" readingOrder="0" shrinkToFit="0" vertical="center" wrapText="1"/>
    </xf>
    <xf borderId="4" fillId="0" fontId="1" numFmtId="167" xfId="0" applyAlignment="1" applyBorder="1" applyFont="1" applyNumberFormat="1">
      <alignment horizontal="center" shrinkToFit="0" vertical="center" wrapText="1"/>
    </xf>
    <xf borderId="11" fillId="7" fontId="1" numFmtId="0" xfId="0" applyAlignment="1" applyBorder="1" applyFill="1" applyFont="1">
      <alignment horizontal="center" readingOrder="0" shrinkToFit="0" vertical="center" wrapText="1"/>
    </xf>
    <xf borderId="0" fillId="0" fontId="25" numFmtId="0" xfId="0" applyAlignment="1" applyFont="1">
      <alignment horizontal="center" shrinkToFit="0" vertical="center" wrapText="1"/>
    </xf>
    <xf borderId="4" fillId="7" fontId="1" numFmtId="167" xfId="0" applyAlignment="1" applyBorder="1" applyFill="1" applyFont="1" applyNumberFormat="1">
      <alignment horizontal="center" readingOrder="0" shrinkToFit="0" vertical="center" wrapText="1"/>
    </xf>
    <xf borderId="4" fillId="7" fontId="1" numFmtId="167" xfId="0" applyAlignment="1" applyBorder="1" applyFill="1" applyFont="1" applyNumberFormat="1">
      <alignment horizontal="center" shrinkToFit="0" vertical="center" wrapText="1"/>
    </xf>
    <xf borderId="4" fillId="6" fontId="26" numFmtId="0" xfId="0" applyAlignment="1" applyBorder="1" applyFill="1" applyFont="1">
      <alignment horizontal="center" readingOrder="0" shrinkToFit="0" vertical="center" wrapText="1"/>
    </xf>
    <xf borderId="4" fillId="6" fontId="27" numFmtId="166" xfId="0" applyAlignment="1" applyBorder="1" applyFill="1" applyFont="1" applyNumberFormat="1">
      <alignment horizontal="center" shrinkToFit="0" vertical="center" wrapText="1"/>
    </xf>
    <xf borderId="4" fillId="0" fontId="1" numFmtId="0" xfId="0" applyAlignment="1" applyBorder="1" applyFont="1">
      <alignment horizontal="center" shrinkToFit="0" vertical="center" wrapText="1"/>
    </xf>
    <xf borderId="4" fillId="7" fontId="1" numFmtId="0" xfId="0" applyAlignment="1" applyBorder="1" applyFill="1" applyFont="1">
      <alignment horizontal="center" shrinkToFit="0" vertical="center" wrapText="1"/>
    </xf>
    <xf borderId="4" fillId="7" fontId="4" numFmtId="0" xfId="0" applyAlignment="1" applyBorder="1" applyFill="1" applyFont="1">
      <alignment horizontal="center" vertical="center"/>
    </xf>
    <xf borderId="4" fillId="0" fontId="23" numFmtId="0" xfId="0" applyAlignment="1" applyBorder="1" applyFont="1">
      <alignment horizontal="left" shrinkToFit="0" vertical="top" wrapText="1"/>
    </xf>
    <xf borderId="4" fillId="7" fontId="17" numFmtId="0" xfId="0" applyAlignment="1" applyBorder="1" applyFill="1" applyFont="1">
      <alignment horizontal="center" readingOrder="0" shrinkToFit="0" vertical="center" wrapText="1"/>
    </xf>
    <xf borderId="4" fillId="7" fontId="28" numFmtId="0" xfId="0" applyAlignment="1" applyBorder="1" applyFill="1" applyFont="1">
      <alignment horizontal="center" readingOrder="0" shrinkToFit="0" vertical="center" wrapText="1"/>
    </xf>
    <xf borderId="5" fillId="0" fontId="10" numFmtId="0" xfId="0" applyAlignment="1" applyBorder="1" applyFont="1">
      <alignment horizontal="center" readingOrder="0" shrinkToFit="0" vertical="center" wrapText="1"/>
    </xf>
    <xf borderId="4" fillId="0" fontId="1" numFmtId="168" xfId="0" applyAlignment="1" applyBorder="1" applyFont="1" applyNumberFormat="1">
      <alignment horizontal="center" readingOrder="0" shrinkToFit="0" vertical="center" wrapText="1"/>
    </xf>
    <xf borderId="4" fillId="8" fontId="1" numFmtId="0" xfId="0" applyAlignment="1" applyBorder="1" applyFill="1" applyFont="1">
      <alignment horizontal="center" readingOrder="0" shrinkToFit="0" vertical="center" wrapText="1"/>
    </xf>
    <xf borderId="5" fillId="0" fontId="1" numFmtId="0" xfId="0" applyAlignment="1" applyBorder="1" applyFont="1">
      <alignment horizontal="center" readingOrder="0" shrinkToFit="0" vertical="center" wrapText="1"/>
    </xf>
    <xf borderId="5" fillId="0" fontId="1" numFmtId="164" xfId="0" applyAlignment="1" applyBorder="1" applyFont="1" applyNumberFormat="1">
      <alignment horizontal="center" readingOrder="0" shrinkToFit="0" vertical="center" wrapText="1"/>
    </xf>
    <xf borderId="5" fillId="0" fontId="1" numFmtId="0" xfId="0" applyAlignment="1" applyBorder="1" applyFont="1">
      <alignment horizontal="center" shrinkToFit="0" vertical="center" wrapText="1"/>
    </xf>
    <xf borderId="12" fillId="0" fontId="3" numFmtId="0" xfId="0" applyBorder="1" applyFont="1"/>
    <xf borderId="4" fillId="0" fontId="1" numFmtId="0" xfId="0" applyAlignment="1" applyBorder="1" applyFont="1">
      <alignment horizontal="left" shrinkToFit="0" vertical="center" wrapText="1"/>
    </xf>
    <xf borderId="8" fillId="5" fontId="4" numFmtId="165" xfId="0" applyAlignment="1" applyBorder="1" applyFill="1" applyFont="1" applyNumberFormat="1">
      <alignment horizontal="center" shrinkToFit="0" vertical="center" wrapText="1"/>
    </xf>
    <xf borderId="4" fillId="0" fontId="29" numFmtId="0" xfId="0" applyAlignment="1" applyBorder="1" applyFont="1">
      <alignment horizontal="center" shrinkToFit="0" vertical="center" wrapText="1"/>
    </xf>
    <xf borderId="4" fillId="7" fontId="1" numFmtId="0" xfId="0" applyAlignment="1" applyBorder="1" applyFill="1" applyFont="1">
      <alignment horizontal="center" readingOrder="0" shrinkToFit="0" vertical="center" wrapText="1"/>
    </xf>
    <xf borderId="4" fillId="6" fontId="10" numFmtId="0" xfId="0" applyAlignment="1" applyBorder="1" applyFill="1" applyFont="1">
      <alignment horizontal="center" shrinkToFit="0" vertical="center" wrapText="1"/>
    </xf>
    <xf borderId="4" fillId="7" fontId="30" numFmtId="0" xfId="0" applyAlignment="1" applyBorder="1" applyFill="1" applyFont="1">
      <alignment horizontal="center" readingOrder="0" shrinkToFit="0" vertical="center" wrapText="1"/>
    </xf>
    <xf borderId="4" fillId="0" fontId="10" numFmtId="164" xfId="0" applyAlignment="1" applyBorder="1" applyFont="1" applyNumberFormat="1">
      <alignment horizontal="center" shrinkToFit="0" vertical="center" wrapText="1"/>
    </xf>
    <xf borderId="4" fillId="0" fontId="28" numFmtId="0" xfId="0" applyAlignment="1" applyBorder="1" applyFont="1">
      <alignment horizontal="center" readingOrder="0" shrinkToFit="0" vertical="center" wrapText="1"/>
    </xf>
    <xf borderId="4" fillId="6" fontId="10" numFmtId="164" xfId="0" applyAlignment="1" applyBorder="1" applyFill="1" applyFont="1" applyNumberFormat="1">
      <alignment horizontal="center" readingOrder="0" shrinkToFit="0" vertical="center" wrapText="1"/>
    </xf>
    <xf borderId="4" fillId="0" fontId="10" numFmtId="165" xfId="0" applyAlignment="1" applyBorder="1" applyFont="1" applyNumberFormat="1">
      <alignment horizontal="center" shrinkToFit="0" vertical="center" wrapText="1"/>
    </xf>
    <xf borderId="4" fillId="0" fontId="31" numFmtId="0" xfId="0" applyAlignment="1" applyBorder="1" applyFont="1">
      <alignment horizontal="center" readingOrder="0" shrinkToFit="0" vertical="center" wrapText="1"/>
    </xf>
    <xf borderId="4" fillId="7" fontId="32" numFmtId="0" xfId="0" applyAlignment="1" applyBorder="1" applyFill="1" applyFont="1">
      <alignment horizontal="center" readingOrder="0" shrinkToFit="0" vertical="center" wrapText="1"/>
    </xf>
    <xf borderId="4" fillId="7" fontId="10" numFmtId="165" xfId="0" applyAlignment="1" applyBorder="1" applyFill="1" applyFont="1" applyNumberFormat="1">
      <alignment horizontal="center" shrinkToFit="0" vertical="center" wrapText="1"/>
    </xf>
    <xf borderId="4" fillId="0" fontId="33" numFmtId="0" xfId="0" applyAlignment="1" applyBorder="1" applyFont="1">
      <alignment horizontal="center" readingOrder="0" shrinkToFit="0" vertical="center" wrapText="1"/>
    </xf>
    <xf borderId="0" fillId="0" fontId="34" numFmtId="0" xfId="0" applyAlignment="1" applyFont="1">
      <alignment readingOrder="0"/>
    </xf>
    <xf borderId="4" fillId="6" fontId="1" numFmtId="164" xfId="0" applyAlignment="1" applyBorder="1" applyFill="1" applyFont="1" applyNumberFormat="1">
      <alignment horizontal="center" readingOrder="0" shrinkToFit="0" vertical="center" wrapText="1"/>
    </xf>
    <xf borderId="4" fillId="6" fontId="35" numFmtId="166" xfId="0" applyAlignment="1" applyBorder="1" applyFill="1" applyFont="1" applyNumberFormat="1">
      <alignment horizontal="center" shrinkToFit="0" vertical="center" wrapText="1"/>
    </xf>
    <xf borderId="4" fillId="6" fontId="1" numFmtId="0" xfId="0" applyAlignment="1" applyBorder="1" applyFill="1" applyFont="1">
      <alignment horizontal="center" readingOrder="0" shrinkToFit="0" wrapText="1"/>
    </xf>
    <xf borderId="4" fillId="7" fontId="36" numFmtId="166" xfId="0" applyAlignment="1" applyBorder="1" applyFill="1" applyFont="1" applyNumberFormat="1">
      <alignment horizontal="center" shrinkToFit="0" vertical="center" wrapText="1"/>
    </xf>
    <xf borderId="4" fillId="7" fontId="1" numFmtId="0" xfId="0" applyAlignment="1" applyBorder="1" applyFill="1" applyFont="1">
      <alignment horizontal="center" readingOrder="0" shrinkToFit="0" wrapText="1"/>
    </xf>
    <xf borderId="1" fillId="0" fontId="4" numFmtId="0" xfId="0" applyAlignment="1" applyBorder="1" applyFont="1">
      <alignment horizontal="left" readingOrder="0" shrinkToFit="0" vertical="center" wrapText="1"/>
    </xf>
    <xf borderId="1" fillId="0" fontId="2" numFmtId="0" xfId="0" applyAlignment="1" applyBorder="1" applyFont="1">
      <alignment horizontal="center" shrinkToFit="0" vertical="center" wrapText="1"/>
    </xf>
    <xf borderId="4" fillId="7" fontId="37" numFmtId="0" xfId="0" applyAlignment="1" applyBorder="1" applyFill="1" applyFont="1">
      <alignment horizontal="center" shrinkToFit="0" vertical="center" wrapText="1"/>
    </xf>
    <xf borderId="4" fillId="7" fontId="1" numFmtId="0" xfId="0" applyAlignment="1" applyBorder="1" applyFill="1" applyFont="1">
      <alignment readingOrder="0" shrinkToFit="0" vertical="center" wrapText="1"/>
    </xf>
    <xf borderId="4" fillId="0" fontId="17" numFmtId="0" xfId="0" applyAlignment="1" applyBorder="1" applyFont="1">
      <alignment horizontal="center" shrinkToFit="0" vertical="center" wrapText="1"/>
    </xf>
    <xf borderId="4" fillId="6" fontId="1" numFmtId="0" xfId="0" applyAlignment="1" applyBorder="1" applyFill="1" applyFont="1">
      <alignment horizontal="center" shrinkToFit="0" vertical="center" wrapText="1"/>
    </xf>
    <xf borderId="4" fillId="6" fontId="1" numFmtId="164" xfId="0" applyAlignment="1" applyBorder="1" applyFill="1" applyFont="1" applyNumberFormat="1">
      <alignment horizontal="center" shrinkToFit="0" vertical="center" wrapText="1"/>
    </xf>
    <xf borderId="4" fillId="8" fontId="38" numFmtId="0" xfId="0" applyAlignment="1" applyBorder="1" applyFill="1" applyFont="1">
      <alignment shrinkToFit="0" vertical="center" wrapText="1"/>
    </xf>
    <xf borderId="5" fillId="0" fontId="10" numFmtId="0" xfId="0" applyAlignment="1" applyBorder="1" applyFont="1">
      <alignment horizontal="center" shrinkToFit="0" vertical="center" wrapText="1"/>
    </xf>
    <xf borderId="5" fillId="0" fontId="10" numFmtId="164" xfId="0" applyAlignment="1" applyBorder="1" applyFont="1" applyNumberFormat="1">
      <alignment horizontal="center" shrinkToFit="0" vertical="center" wrapText="1"/>
    </xf>
    <xf borderId="4" fillId="0" fontId="10" numFmtId="0" xfId="0" applyAlignment="1" applyBorder="1" applyFont="1">
      <alignment horizontal="left" shrinkToFit="0" vertical="center" wrapText="1"/>
    </xf>
    <xf borderId="1" fillId="0" fontId="1" numFmtId="0" xfId="0" applyBorder="1" applyFont="1"/>
    <xf borderId="4" fillId="0" fontId="1" numFmtId="0" xfId="0" applyAlignment="1" applyBorder="1" applyFont="1">
      <alignment horizontal="left" shrinkToFit="0" vertical="top" wrapText="1"/>
    </xf>
    <xf borderId="4" fillId="7" fontId="28" numFmtId="0" xfId="0" applyAlignment="1" applyBorder="1" applyFill="1" applyFont="1">
      <alignment horizontal="center" readingOrder="0" shrinkToFit="0" vertical="center" wrapText="1"/>
    </xf>
    <xf borderId="4" fillId="7" fontId="10" numFmtId="0" xfId="0" applyAlignment="1" applyBorder="1" applyFill="1" applyFont="1">
      <alignment horizontal="center" readingOrder="0" shrinkToFit="0" vertical="center" wrapText="1"/>
    </xf>
    <xf borderId="7" fillId="7" fontId="39" numFmtId="166" xfId="0" applyAlignment="1" applyBorder="1" applyFill="1" applyFont="1" applyNumberFormat="1">
      <alignment horizontal="center" shrinkToFit="0" vertical="center" wrapText="1"/>
    </xf>
    <xf borderId="4" fillId="7" fontId="10" numFmtId="0" xfId="0" applyAlignment="1" applyBorder="1" applyFill="1" applyFont="1">
      <alignment horizontal="center" readingOrder="0" vertical="center"/>
    </xf>
    <xf borderId="11" fillId="7" fontId="10" numFmtId="0" xfId="0" applyAlignment="1" applyBorder="1" applyFill="1" applyFont="1">
      <alignment horizontal="center" readingOrder="0" shrinkToFit="0" vertical="center" wrapText="1"/>
    </xf>
    <xf borderId="7" fillId="6" fontId="40" numFmtId="166" xfId="0" applyAlignment="1" applyBorder="1" applyFill="1" applyFont="1" applyNumberFormat="1">
      <alignment horizontal="center" shrinkToFit="0" vertical="center" wrapText="1"/>
    </xf>
    <xf borderId="4" fillId="0" fontId="10" numFmtId="0" xfId="0" applyAlignment="1" applyBorder="1" applyFont="1">
      <alignment horizontal="center" vertical="center"/>
    </xf>
    <xf borderId="11" fillId="6" fontId="41" numFmtId="0" xfId="0" applyAlignment="1" applyBorder="1" applyFill="1" applyFont="1">
      <alignment horizontal="center" shrinkToFit="0" vertical="center" wrapText="1"/>
    </xf>
    <xf borderId="11" fillId="6" fontId="30" numFmtId="0" xfId="0" applyAlignment="1" applyBorder="1" applyFill="1" applyFont="1">
      <alignment horizontal="center" shrinkToFit="0" vertical="center" wrapText="1"/>
    </xf>
    <xf borderId="0" fillId="0" fontId="34" numFmtId="0" xfId="0" applyFont="1"/>
    <xf borderId="4" fillId="0" fontId="42" numFmtId="166" xfId="0" applyAlignment="1" applyBorder="1" applyFont="1" applyNumberFormat="1">
      <alignment horizontal="center" shrinkToFit="0" vertical="center" wrapText="1"/>
    </xf>
    <xf borderId="4" fillId="7" fontId="43" numFmtId="0" xfId="0" applyAlignment="1" applyBorder="1" applyFill="1" applyFont="1">
      <alignment horizontal="center" readingOrder="0" shrinkToFit="0" vertical="center" wrapText="1"/>
    </xf>
    <xf borderId="6" fillId="4" fontId="44" numFmtId="0" xfId="0" applyAlignment="1" applyBorder="1" applyFill="1" applyFont="1">
      <alignment horizontal="center" readingOrder="0" shrinkToFit="0" vertical="center" wrapText="1"/>
    </xf>
    <xf borderId="4" fillId="0" fontId="1" numFmtId="169" xfId="0" applyAlignment="1" applyBorder="1" applyFont="1" applyNumberFormat="1">
      <alignment horizontal="center" shrinkToFit="0" vertical="center" wrapText="1"/>
    </xf>
    <xf borderId="4" fillId="6" fontId="45" numFmtId="170" xfId="0" applyAlignment="1" applyBorder="1" applyFill="1" applyFont="1" applyNumberFormat="1">
      <alignment horizontal="center" shrinkToFit="0" vertical="center" wrapText="1"/>
    </xf>
    <xf borderId="4" fillId="7" fontId="1" numFmtId="169" xfId="0" applyAlignment="1" applyBorder="1" applyFill="1" applyFont="1" applyNumberFormat="1">
      <alignment horizontal="center" shrinkToFit="0" vertical="center" wrapText="1"/>
    </xf>
    <xf borderId="4" fillId="7" fontId="46" numFmtId="170" xfId="0" applyAlignment="1" applyBorder="1" applyFill="1" applyFont="1" applyNumberFormat="1">
      <alignment horizontal="center" shrinkToFit="0" vertical="center" wrapText="1"/>
    </xf>
    <xf borderId="4" fillId="7" fontId="34" numFmtId="0" xfId="0" applyAlignment="1" applyBorder="1" applyFill="1" applyFont="1">
      <alignment horizontal="center" readingOrder="0" vertical="center"/>
    </xf>
    <xf borderId="10" fillId="7" fontId="34" numFmtId="164" xfId="0" applyAlignment="1" applyBorder="1" applyFill="1" applyFont="1" applyNumberFormat="1">
      <alignment readingOrder="0" vertical="center"/>
    </xf>
    <xf borderId="4" fillId="6" fontId="1" numFmtId="165" xfId="0" applyAlignment="1" applyBorder="1" applyFill="1" applyFont="1" applyNumberFormat="1">
      <alignment horizontal="center" shrinkToFit="0" vertical="center" wrapText="1"/>
    </xf>
    <xf borderId="4" fillId="0" fontId="47" numFmtId="0" xfId="0" applyAlignment="1" applyBorder="1" applyFont="1">
      <alignment horizontal="center" shrinkToFit="0" vertical="center" wrapText="1"/>
    </xf>
    <xf borderId="4" fillId="6" fontId="48" numFmtId="164" xfId="0" applyAlignment="1" applyBorder="1" applyFill="1" applyFont="1" applyNumberFormat="1">
      <alignment horizontal="center" shrinkToFit="0" vertical="center" wrapText="1"/>
    </xf>
    <xf borderId="4" fillId="7" fontId="34" numFmtId="164" xfId="0" applyAlignment="1" applyBorder="1" applyFill="1" applyFont="1" applyNumberFormat="1">
      <alignment horizontal="left" readingOrder="0" vertical="center"/>
    </xf>
    <xf borderId="4" fillId="7" fontId="49" numFmtId="164" xfId="0" applyAlignment="1" applyBorder="1" applyFill="1" applyFont="1" applyNumberFormat="1">
      <alignment horizontal="center" shrinkToFit="0" vertical="center" wrapText="1"/>
    </xf>
    <xf borderId="4" fillId="7" fontId="50" numFmtId="164" xfId="0" applyAlignment="1" applyBorder="1" applyFill="1" applyFont="1" applyNumberFormat="1">
      <alignment horizontal="center" shrinkToFit="0" vertical="center" wrapText="1"/>
    </xf>
    <xf borderId="4" fillId="0" fontId="51" numFmtId="164" xfId="0" applyAlignment="1" applyBorder="1" applyFont="1" applyNumberFormat="1">
      <alignment horizontal="center" shrinkToFit="0" vertical="center" wrapText="1"/>
    </xf>
    <xf borderId="4" fillId="0" fontId="52" numFmtId="166" xfId="0" applyAlignment="1" applyBorder="1" applyFont="1" applyNumberFormat="1">
      <alignment horizontal="center" shrinkToFit="0" vertical="center" wrapText="1"/>
    </xf>
    <xf borderId="4" fillId="6" fontId="4" numFmtId="164" xfId="0" applyAlignment="1" applyBorder="1" applyFill="1" applyFont="1" applyNumberFormat="1">
      <alignment horizontal="center" readingOrder="0" shrinkToFit="0" vertical="center" wrapText="1"/>
    </xf>
    <xf borderId="12" fillId="0" fontId="23" numFmtId="3" xfId="0" applyAlignment="1" applyBorder="1" applyFont="1" applyNumberFormat="1">
      <alignment horizontal="center" shrinkToFit="0" vertical="top" wrapText="1"/>
    </xf>
    <xf borderId="4" fillId="0" fontId="23" numFmtId="3" xfId="0" applyAlignment="1" applyBorder="1" applyFont="1" applyNumberFormat="1">
      <alignment horizontal="center" shrinkToFit="0" vertical="top" wrapText="1"/>
    </xf>
    <xf borderId="4" fillId="0" fontId="10" numFmtId="0" xfId="0" applyAlignment="1" applyBorder="1" applyFont="1">
      <alignment horizontal="center" readingOrder="0" shrinkToFit="0" vertical="center" wrapText="1"/>
    </xf>
    <xf borderId="4" fillId="0" fontId="10" numFmtId="169" xfId="0" applyAlignment="1" applyBorder="1" applyFont="1" applyNumberFormat="1">
      <alignment horizontal="center" readingOrder="0" shrinkToFit="0" vertical="center" wrapText="1"/>
    </xf>
    <xf borderId="4" fillId="0" fontId="10" numFmtId="169" xfId="0" applyAlignment="1" applyBorder="1" applyFont="1" applyNumberFormat="1">
      <alignment horizontal="center" shrinkToFit="0" vertical="center" wrapText="1"/>
    </xf>
    <xf borderId="4" fillId="0" fontId="53" numFmtId="166" xfId="0" applyAlignment="1" applyBorder="1" applyFont="1" applyNumberFormat="1">
      <alignment horizontal="center" shrinkToFit="0" vertical="center" wrapText="1"/>
    </xf>
    <xf borderId="4" fillId="0" fontId="10" numFmtId="0" xfId="0" applyAlignment="1" applyBorder="1" applyFont="1">
      <alignment horizontal="center" readingOrder="0" shrinkToFit="0" vertical="top" wrapText="1"/>
    </xf>
    <xf borderId="4" fillId="7" fontId="10" numFmtId="169" xfId="0" applyAlignment="1" applyBorder="1" applyFill="1" applyFont="1" applyNumberFormat="1">
      <alignment horizontal="center" readingOrder="0" shrinkToFit="0" vertical="center" wrapText="1"/>
    </xf>
    <xf borderId="4" fillId="7" fontId="10" numFmtId="169" xfId="0" applyAlignment="1" applyBorder="1" applyFill="1" applyFont="1" applyNumberFormat="1">
      <alignment horizontal="center" shrinkToFit="0" vertical="center" wrapText="1"/>
    </xf>
    <xf borderId="4" fillId="7" fontId="54" numFmtId="166" xfId="0" applyAlignment="1" applyBorder="1" applyFill="1" applyFont="1" applyNumberFormat="1">
      <alignment horizontal="center" shrinkToFit="0" vertical="center" wrapText="1"/>
    </xf>
    <xf borderId="4" fillId="0" fontId="34" numFmtId="0" xfId="0" applyAlignment="1" applyBorder="1" applyFont="1">
      <alignment horizontal="center" readingOrder="0" vertical="center"/>
    </xf>
    <xf borderId="4" fillId="0" fontId="1" numFmtId="0" xfId="0" applyAlignment="1" applyBorder="1" applyFont="1">
      <alignment horizontal="center" shrinkToFit="0" vertical="center" wrapText="1"/>
    </xf>
    <xf borderId="4" fillId="0" fontId="1" numFmtId="164" xfId="0" applyAlignment="1" applyBorder="1" applyFont="1" applyNumberFormat="1">
      <alignment shrinkToFit="0" vertical="center" wrapText="1"/>
    </xf>
    <xf borderId="4" fillId="0" fontId="1" numFmtId="165" xfId="0" applyAlignment="1" applyBorder="1" applyFont="1" applyNumberFormat="1">
      <alignment shrinkToFit="0" vertical="center" wrapText="1"/>
    </xf>
    <xf borderId="4" fillId="0" fontId="1" numFmtId="0" xfId="0" applyAlignment="1" applyBorder="1" applyFont="1">
      <alignment horizontal="center" readingOrder="0" shrinkToFit="0" vertical="center" wrapText="1"/>
    </xf>
    <xf borderId="4" fillId="7" fontId="1" numFmtId="0" xfId="0" applyAlignment="1" applyBorder="1" applyFill="1" applyFont="1">
      <alignment horizontal="center" readingOrder="0" shrinkToFit="0" vertical="center" wrapText="1"/>
    </xf>
    <xf borderId="4" fillId="7" fontId="1" numFmtId="164" xfId="0" applyAlignment="1" applyBorder="1" applyFill="1" applyFont="1" applyNumberFormat="1">
      <alignment readingOrder="0" shrinkToFit="0" vertical="center" wrapText="1"/>
    </xf>
    <xf borderId="4" fillId="7" fontId="1" numFmtId="164" xfId="0" applyAlignment="1" applyBorder="1" applyFill="1" applyFont="1" applyNumberFormat="1">
      <alignment shrinkToFit="0" vertical="center" wrapText="1"/>
    </xf>
    <xf borderId="4" fillId="7" fontId="1" numFmtId="165" xfId="0" applyAlignment="1" applyBorder="1" applyFill="1" applyFont="1" applyNumberFormat="1">
      <alignment shrinkToFit="0" vertical="center" wrapText="1"/>
    </xf>
    <xf borderId="4" fillId="6" fontId="1" numFmtId="0" xfId="0" applyAlignment="1" applyBorder="1" applyFill="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lenovo.com/co/es/p/portatiles/thinkbook/thinkbook-serie/lenovo-thinkbook-16-gen-7-16-inch-amd/21mw000klm" TargetMode="External"/><Relationship Id="rId2" Type="http://schemas.openxmlformats.org/officeDocument/2006/relationships/hyperlink" Target="https://co.store.asus.com/90nb0zt2-m00580-portatil-asus-vivobook-go-15-ci3-8gb-512gb-ssd-amd-radeon-15-6-e1504fa-l1364w.html" TargetMode="External"/><Relationship Id="rId3" Type="http://schemas.openxmlformats.org/officeDocument/2006/relationships/hyperlink" Target="https://consumer.huawei.com/co/laptops/matebook-d-15-2023/"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mercadolibre.com.co/cpu-torre-intel-core-i5-4ta-ram-8gb-ssd-256gb-reacondiciono/up/MCOU3375691800" TargetMode="External"/><Relationship Id="rId2" Type="http://schemas.openxmlformats.org/officeDocument/2006/relationships/hyperlink" Target="https://www.mercadolibre.com.co/cpu-torre-intel-core-i7-6ta-gen-ram-8gb-disco-500gb/up/MCOU3049363081?pdp_filters=item_id%3AMCO2827715316&amp;from=gshop&amp;matt_tool=87585337&amp;matt_word=&amp;matt_source=google&amp;matt_campaign_id=22126928786&amp;matt_ad_group_id=173140660763&amp;matt_match_type=&amp;matt_network=g&amp;matt_device=c&amp;matt_creative=729836849947&amp;matt_keyword=&amp;matt_ad_position=&amp;matt_ad_type=pla&amp;matt_merchant_id=5528479097&amp;matt_product_id=MCOU3049363081&amp;matt_product_partition_id=2389840739979&amp;matt_target_id=pla-2389840739979&amp;cq_src=google_ads&amp;cq_cmp=22126928786&amp;cq_net=g&amp;cq_plt=gp&amp;cq_med=pla&amp;gad_source=4&amp;gad_campaignid=22126928786&amp;gbraid=0AAAAAD1Dcow2fMz9Hy3jncZEQbk4oWMwq&amp;gclid=CjwKCAjwr8LHBhBKEiwAy47uUpP8iueTRhOzbih7FwYDBlDDGqF0UcPd2tBClNeOuPohgVcdT376FhoCErAQAvD_BwE" TargetMode="External"/><Relationship Id="rId3" Type="http://schemas.openxmlformats.org/officeDocument/2006/relationships/hyperlink" Target="https://www.exito.com/gabinete-xtech-atx-micro-atx-kit-teclado-mouse-y-bocinas-103725363-mp/p?idsku=103725363&amp;srsltid=AfmBOorLrgSMW-G7GmobFzZBvsRoR659VaCsixgZ7QnksBG1d08hpIQRP3I"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alkosto.com/monitor-asus-238-pulgadas-va249hg-fhd-plano-negro/p/4711387795170?gclsrc=aw.ds&amp;&amp;fuente=google&amp;medio=cpc&amp;campaign=AK_COL_MAX_PEF_CPC_AON_COMP_Asus_Ago21_EXP_AGO&amp;keyword=&amp;gad_source=4&amp;gad_campaignid=17420068513&amp;gbraid=0AAAAADlnVbhTt2bUyE9x4u81paFq-_asX&amp;gclid=CjwKCAjw0sfHBhB6EiwAQtv5qYskqqpqCXQ9EczewBtrAqirhsDkg5N8KqKKU7_G-PcF_azrODGRoRoC3-AQAvD_BwE" TargetMode="External"/><Relationship Id="rId2" Type="http://schemas.openxmlformats.org/officeDocument/2006/relationships/hyperlink" Target="https://www.mi.com/co/product/xiaomi-monitor-a27i/buy/?gad_campaignid=21877291918&amp;gad_source=4&amp;gbraid=0AAAAA-PJ7P3cfyu4HNtXg8HDIFjJqqk8P&amp;gclid=CjwKCAjw0sfHBhB6EiwAQtv5qcu7m60Tc2unVIQ-YWtvgLjoqtgfZetu7KjOdnrx2qU_sL6FsoPOHxoCArIQAvD_BwE&amp;gid=4223713924&amp;utm_campaign=micom_co_pmax_aiot&amp;utm_channel=search&amp;utm_medium=paid-search&amp;utm_source=google&amp;utm_type=1" TargetMode="External"/><Relationship Id="rId3" Type="http://schemas.openxmlformats.org/officeDocument/2006/relationships/hyperlink" Target="https://www.falabella.com.co/falabella-co/product/129581993/Monitor-LG-2145-FHD-FreeSync-100Hz-5ms-Negro/129581994?kid=shopp261fa&amp;gclsrc=aw.ds&amp;gad_source=4&amp;gad_campaignid=21861273110&amp;gbraid=0AAAAADtuoyT4msvbvAdNcN40msY1D1LZP&amp;gclid=CjwKCAjw0sfHBhB6EiwAQtv5qePp5-Hwy0PoD46g_Cx8ycsHcP63ahVy_7iPCsztXdiyZVOKc1Ha9hoCshMQAvD_BwE"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mercadolibre.com.co/disco-solido-ssd-interno-adata-ultimate-su650-asu650ss-512gt-r-512gb/p/MCO35339869?pdp_filters=item_id%3AMCO1652479149&amp;from=gshop&amp;matt_tool=32927594&amp;matt_word=&amp;matt_source=google&amp;matt_campaign_id=22126928795&amp;matt_ad_group_id=173140669883&amp;matt_match_type=&amp;matt_network=g&amp;matt_device=c&amp;matt_creative=729917880236&amp;matt_keyword=&amp;matt_ad_position=&amp;matt_ad_type=pla&amp;matt_merchant_id=735122983&amp;matt_product_id=MCO35339869-product&amp;matt_product_partition_id=2389849485285&amp;matt_target_id=pla-2389849485285&amp;cq_src=google_ads&amp;cq_cmp=22126928795&amp;cq_net=g&amp;cq_plt=gp&amp;cq_med=pla&amp;gad_source=1&amp;gad_campaignid=22126928795&amp;gbraid=0AAAAAD1DcoxmzvLy3yzvJKy3uATiEskFY&amp;gclid=CjwKCAjw0sfHBhB6EiwAQtv5qX0h-a40LMEyZNavJvkYbXLIqzCzxdNHe5oPusyg0vp9-UMs0vvueRoCpDMQAvD_BwE" TargetMode="External"/><Relationship Id="rId2" Type="http://schemas.openxmlformats.org/officeDocument/2006/relationships/hyperlink" Target="https://consumer.huawei.com/co/laptops/matebook-d-15-2023/" TargetMode="External"/><Relationship Id="rId3" Type="http://schemas.openxmlformats.org/officeDocument/2006/relationships/hyperlink" Target="https://tecnoplaza.com.co/products/disco-solido-ssd-adata-256gb-su650-520-450mbps-3d-nand-2-5?variant=44592997662908&amp;country=CO&amp;currency=COP&amp;utm_medium=product_sync&amp;utm_source=google&amp;utm_content=sag_organic&amp;utm_campaign=sag_organic&amp;srsltid=AfmBOoqe4zE91sgMfuk-VYOxBc_FfbODV1smw037MEIft0_uyMDYCGmY2iAmatt_tool=19390127&amp;utm_source=google_shopping&amp;utm_medium=organic&amp;pdp_filters=item_id%3AMCO2503122790&amp;from=gshop"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mercadolibre.com.co/disco-solido-ssd-interno-kingston-sa400s37240gb-negro/p/MCO19035706?pdp_filters=category:MCO1672" TargetMode="External"/><Relationship Id="rId2" Type="http://schemas.openxmlformats.org/officeDocument/2006/relationships/hyperlink" Target="https://www.tradeinn.com/techinn/es/sandisk-ssd-sdssda-1t00-g27-1tb/139174317/p?utm_source=google_products&amp;utm_medium=merchant&amp;id_producte=17173320&amp;country=co&amp;srsltid=AfmBOoo-7r2X-i4u2h0wePj0qX23IeEOFcWKHfX4uPQZkFJNcVNkwSjKaNY" TargetMode="External"/><Relationship Id="rId3" Type="http://schemas.openxmlformats.org/officeDocument/2006/relationships/hyperlink" Target="https://www.mercadolibre.com.co/disco-solido-ssd-interno-1tb-teamgroup-ax2-sata-iii-laptop-color-naranja/p/MCO21774428?matt_tool=19390127&amp;utm_source=google_shopping&amp;utm_medium=organic&amp;pdp_filters=item_id%3AMCO2978625718&amp;from=gshop"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consumer.huawei.com/co/laptops/matebook-d-15-2023/" TargetMode="External"/><Relationship Id="rId2" Type="http://schemas.openxmlformats.org/officeDocument/2006/relationships/hyperlink" Target="https://mipscolombia.com.co/product/ddr4-16gb-3200-crucial-2/" TargetMode="External"/><Relationship Id="rId3" Type="http://schemas.openxmlformats.org/officeDocument/2006/relationships/hyperlink" Target="https://www.mercadolibre.com.co/memoria-ram-16gb-1x16gb-ddr4-2666-mhz-udimm-timetec-mr-dr41/p/MCO27555615"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mercadolibre.com.co/procesador-amd-ryzen-5-8500g-radeon-6c12t/p/MCO32480267" TargetMode="External"/><Relationship Id="rId2" Type="http://schemas.openxmlformats.org/officeDocument/2006/relationships/hyperlink" Target="https://clonesyperifericos.com/comprar/procesador-amd-ryzen-5-5600t-4-5ghz/" TargetMode="External"/><Relationship Id="rId3" Type="http://schemas.openxmlformats.org/officeDocument/2006/relationships/hyperlink" Target="https://speedlogic.com.co/tienda/procesadores/intel/procesador-intel-core-i5-12400f-25-18m-6-cor-xii-generacion-no-video/"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mercadolibre.com.co/teclado-trust-primo-teclas-silenciosas-y-resistente-liquidos-color-del-teclado-negro/p/MCO24752522?quantity=1" TargetMode="External"/><Relationship Id="rId2" Type="http://schemas.openxmlformats.org/officeDocument/2006/relationships/hyperlink" Target="https://www.alkosto.com/teclado-kalley-alambrico-gaming-k-kgt-negro-rojo/p/7705946478533" TargetMode="External"/><Relationship Id="rId3" Type="http://schemas.openxmlformats.org/officeDocument/2006/relationships/hyperlink" Target="https://www.homecenter.com.co/homecenter-co/product/783011/teclado-alfanumerico-usb-steren/783011/"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panamericana.com.co/mouse-gaming-alambrico-ghostgrip-rgb-negro-664708/p" TargetMode="External"/><Relationship Id="rId2" Type="http://schemas.openxmlformats.org/officeDocument/2006/relationships/hyperlink" Target="https://www.homecenter.com.co/homecenter-co/product/509577/mouse-gamer-pc-usb-7-botones-4800-dpi-rgb/509577/" TargetMode="External"/><Relationship Id="rId3"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lenovo.com/co/es/p/portatiles/thinkbook/thinkbook-serie/lenovo-thinkbook-16-gen-7-16-inch-amd/21mw000klm" TargetMode="External"/><Relationship Id="rId2" Type="http://schemas.openxmlformats.org/officeDocument/2006/relationships/hyperlink" Target="https://articulo.mercadolibre.com.co/MCO-1437950167-cpu-torre-intel-core-i5-2-generacion-12gb-ram-pc-corporativo-_JM" TargetMode="External"/><Relationship Id="rId3" Type="http://schemas.openxmlformats.org/officeDocument/2006/relationships/hyperlink" Target="https://www.exito.com/portatil-asus-ryzen-3-7320u-8gb-ram-512gb-ssd-156-fhd-e1504fa-nj1961-104741733-mp/p"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alkosto.com/computador-all-in-one-v400-asus-238-pulgadas-v440vak-intel/p/4711387958544" TargetMode="External"/><Relationship Id="rId2" Type="http://schemas.openxmlformats.org/officeDocument/2006/relationships/hyperlink" Target="https://www.exito.com/monitor-aoc-led-profesional-plano-21pulgadas-full-hd-hdmi-base-fija-104127385-mp/p" TargetMode="External"/><Relationship Id="rId3" Type="http://schemas.openxmlformats.org/officeDocument/2006/relationships/hyperlink" Target="https://symcomputadores.com/producto/monitor-acer-22-ek220q-1920x1080-ips-100hz-1ms/"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mercadolibre.com.co/disco-duro-interno-western-digital-wd5000lpzx-25in-500gb-hdd-sata-iii-plata/p/MCO21709406?pdp_filters=category%3AMCO1672" TargetMode="External"/><Relationship Id="rId2" Type="http://schemas.openxmlformats.org/officeDocument/2006/relationships/hyperlink" Target="https://www.mercadolibre.com.co/disco-duro-mecanico-iii-con-interfaz-de-disco-duro-mecanico/p/MCO2020124081" TargetMode="External"/><Relationship Id="rId3" Type="http://schemas.openxmlformats.org/officeDocument/2006/relationships/hyperlink" Target="https://www.falabella.com.co/falabella-co/product/121185712/DISCO-DURO-DE-500GB-WESTER-DIGITAL-SEAGATE-PULL-DVR-PC/121185714" TargetMode="External"/><Relationship Id="rId4"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mercadolibre.com.co/servidor-dell-poweredge-2650/up/MCOU3371747215" TargetMode="External"/><Relationship Id="rId2" Type="http://schemas.openxmlformats.org/officeDocument/2006/relationships/hyperlink" Target="https://lasus.com.co/es/dell-480gb-ssd-sata-read-intensive-6gbps" TargetMode="External"/><Relationship Id="rId3" Type="http://schemas.openxmlformats.org/officeDocument/2006/relationships/hyperlink" Target="https://articulo.mercadolibre.com.co/MCO-1317854809-cpu-dell-optiplex-5090-core-i5-10ma-gen-8gb-512gb-open-box-_JM?variation=" TargetMode="External"/><Relationship Id="rId4"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mercadolibre.com.co/memoria-ram-ddr3-2gb-1333mhz-skyd/p/MCO20722189" TargetMode="External"/><Relationship Id="rId2" Type="http://schemas.openxmlformats.org/officeDocument/2006/relationships/hyperlink" Target="https://clonesyperifericos.com/comprar/memoria-ram-adata-para-portatil-8gb-3200mhz/" TargetMode="External"/><Relationship Id="rId3" Type="http://schemas.openxmlformats.org/officeDocument/2006/relationships/hyperlink" Target="https://symcomputadores.com/producto/memoria-ram-kingston-ddr3-4gb-pc-1333/" TargetMode="External"/><Relationship Id="rId4"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mercadolibre.com.co/tarjeta-grafica-geforce-gtx960-gddr5-de-4-gb-28-nm-1140-mh/p/MCO2017619686?pdp_filters=item_id%3AMCO2816869380" TargetMode="External"/><Relationship Id="rId2" Type="http://schemas.openxmlformats.org/officeDocument/2006/relationships/hyperlink" Target="https://clonesyperifericos.com/comprar/tarjeta-de-video-msi-gt-710-2g-d3-lp/" TargetMode="External"/><Relationship Id="rId3" Type="http://schemas.openxmlformats.org/officeDocument/2006/relationships/hyperlink" Target="https://speedlogic.com.co/categoria/tarjetas-graficas/?orderby=price&amp;srsltid=AfmBOook9GQzueHiWQ31BHjHh8ajuhXeiIiunuQLkoEWqNqR6gDOxe4k" TargetMode="External"/><Relationship Id="rId4"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www.mercadolibre.com.co/procesador-amd-ryzen-5-8500g-radeon-6c12t/p/MCO32480267" TargetMode="External"/><Relationship Id="rId2" Type="http://schemas.openxmlformats.org/officeDocument/2006/relationships/hyperlink" Target="https://clonesyperifericos.com/comprar/procesador-amd-ryzen-5-5600t-4-5ghz/" TargetMode="External"/><Relationship Id="rId3" Type="http://schemas.openxmlformats.org/officeDocument/2006/relationships/hyperlink" Target="https://speedlogic.com.co/tienda/procesadores/intel/procesador-intel-core-i5-12400f-25-18m-6-cor-xii-generacion-no-video/" TargetMode="External"/><Relationship Id="rId4"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articulo.mercadolibre.com.co/MCO-2815806162-base-teclado-inalambrico-bluetooth-y-wirelees-mouse-tactil-_JM?searchVariation=182898995984" TargetMode="External"/><Relationship Id="rId2" Type="http://schemas.openxmlformats.org/officeDocument/2006/relationships/hyperlink" Target="https://www.hp.com/co-es/shop/teclado-inalambrico-hp-350-692s8aa.html?facetref=9acc23b722f56b81" TargetMode="External"/><Relationship Id="rId3" Type="http://schemas.openxmlformats.org/officeDocument/2006/relationships/hyperlink" Target="https://www.alkosto.com/teclado-esenses-basico-usb/p/7707278170994" TargetMode="External"/><Relationship Id="rId4"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lasus.com.co/es/mouse-inalambrico-genius-nx-8006s-negro-silencioso-y-compatible?srsltid=AfmBOooONUJiZVxOLWiLD02rTUjMAAU3PZqr6OLbfHz7pbWltxMYc5V2yLk" TargetMode="External"/><Relationship Id="rId2" Type="http://schemas.openxmlformats.org/officeDocument/2006/relationships/hyperlink" Target="https://www.mercadolibre.com.co/mouse-inalambrico-maxell-usb-c-8001600-dpi-color-negro/p/MCO47847176?pdp_filters=item_id:MCO1568037819" TargetMode="External"/><Relationship Id="rId3" Type="http://schemas.openxmlformats.org/officeDocument/2006/relationships/hyperlink" Target="https://www.falabella.com.co/falabella-co/product/72841171/Mouse-HP-Bluetooth/72841171" TargetMode="External"/><Relationship Id="rId4"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systorecolombia.com/windows/849-microsoft-windows-11-profesional-a-64-bits-oem-fqc-10552.html" TargetMode="External"/><Relationship Id="rId2" Type="http://schemas.openxmlformats.org/officeDocument/2006/relationships/hyperlink" Target="https://consumer.huawei.com/co/laptops/matebook-d-15-2023/" TargetMode="External"/><Relationship Id="rId3" Type="http://schemas.openxmlformats.org/officeDocument/2006/relationships/hyperlink" Target="https://colombiakeys.com/producto/office-2021-pro-plus/" TargetMode="External"/><Relationship Id="rId4"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www.microsoft.com/en-us/d/visual-studio-professional-subscription/dg7gmgf0dst3/0001?activetab=pivot:overviewtab" TargetMode="External"/><Relationship Id="rId2" Type="http://schemas.openxmlformats.org/officeDocument/2006/relationships/hyperlink" Target="https://code.visualstudio.com/" TargetMode="External"/><Relationship Id="rId3" Type="http://schemas.openxmlformats.org/officeDocument/2006/relationships/hyperlink" Target="https://3clics.co/index.php/es/otros-softwares/editor-de-codigo/licencia-visual-studio-2022-detail" TargetMode="External"/><Relationship Id="rId4"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www.microsoft.com/es-co/" TargetMode="External"/><Relationship Id="rId2" Type="http://schemas.openxmlformats.org/officeDocument/2006/relationships/hyperlink" Target="https://consumer.huawei.com/co/laptops/matebook-d-15-2023/" TargetMode="External"/><Relationship Id="rId3" Type="http://schemas.openxmlformats.org/officeDocument/2006/relationships/hyperlink" Target="https://www.microsoft.com/es-co/" TargetMode="External"/><Relationship Id="rId4"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buhodigitalcol.com/sql-server-2019/?gad_source=1&amp;gad_campaignid=20819184457&amp;gbraid=0AAAAAqHi9t-RLaO9Guevoc442Pqqv1Bal&amp;gclid=Cj0KCQjwsPzHBhDCARIsALlWNG0OH4y6DpkZw3NQXOXLV42dJbFWIYr4pBLY6agKZBnNg2MKvpng4zgaAnwqEALw_wcB" TargetMode="External"/><Relationship Id="rId2" Type="http://schemas.openxmlformats.org/officeDocument/2006/relationships/hyperlink" Target="https://www.microsoft.com/es-es/sql-server/sql-server-downloads" TargetMode="External"/><Relationship Id="rId3" Type="http://schemas.openxmlformats.org/officeDocument/2006/relationships/hyperlink" Target="https://www.keyxpress-colombia.com/licencia-sql-server-2019-standard-online" TargetMode="External"/><Relationship Id="rId4"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8" t="s">
        <v>4</v>
      </c>
      <c r="C7" s="8" t="s">
        <v>8</v>
      </c>
      <c r="D7" s="8" t="s">
        <v>10</v>
      </c>
      <c r="E7" s="8" t="s">
        <v>12</v>
      </c>
      <c r="F7" s="11" t="s">
        <v>16</v>
      </c>
      <c r="G7" s="14" t="s">
        <v>21</v>
      </c>
      <c r="H7" s="8" t="s">
        <v>19</v>
      </c>
      <c r="I7" s="8" t="s">
        <v>25</v>
      </c>
      <c r="J7" s="8" t="s">
        <v>28</v>
      </c>
      <c r="K7" s="15"/>
      <c r="L7" s="15"/>
      <c r="M7" s="15"/>
      <c r="N7" s="15"/>
      <c r="O7" s="15"/>
      <c r="P7" s="15"/>
      <c r="Q7" s="15"/>
      <c r="R7" s="15"/>
      <c r="S7" s="15"/>
      <c r="T7" s="15"/>
      <c r="U7" s="15"/>
      <c r="V7" s="15"/>
      <c r="W7" s="15"/>
      <c r="X7" s="15"/>
      <c r="Y7" s="15"/>
      <c r="Z7" s="15"/>
    </row>
    <row r="8" ht="50.25" customHeight="1">
      <c r="A8" s="18" t="s">
        <v>27</v>
      </c>
      <c r="B8" s="19" t="s">
        <v>31</v>
      </c>
      <c r="C8" s="23" t="s">
        <v>33</v>
      </c>
      <c r="D8" s="25" t="s">
        <v>41</v>
      </c>
      <c r="E8" s="26">
        <v>4994286.55</v>
      </c>
      <c r="F8" s="29">
        <f t="shared" ref="F8:F10" si="1">E8*1.19</f>
        <v>5943200.995</v>
      </c>
      <c r="G8" s="32">
        <f t="shared" ref="G8:G10" si="2">(E8+F8)/3900</f>
        <v>2804.483986</v>
      </c>
      <c r="H8" s="33">
        <f t="shared" ref="H8:H10" si="3">G8*3900</f>
        <v>10937487.54</v>
      </c>
      <c r="I8" s="35" t="s">
        <v>48</v>
      </c>
      <c r="J8" s="25" t="s">
        <v>49</v>
      </c>
    </row>
    <row r="9" ht="50.25" customHeight="1">
      <c r="A9" s="18" t="s">
        <v>50</v>
      </c>
      <c r="B9" s="36" t="s">
        <v>51</v>
      </c>
      <c r="C9" s="23" t="s">
        <v>52</v>
      </c>
      <c r="D9" s="25" t="s">
        <v>56</v>
      </c>
      <c r="E9" s="43">
        <v>1596554.62</v>
      </c>
      <c r="F9" s="29">
        <f t="shared" si="1"/>
        <v>1899899.998</v>
      </c>
      <c r="G9" s="32">
        <f t="shared" si="2"/>
        <v>896.5268251</v>
      </c>
      <c r="H9" s="33">
        <f t="shared" si="3"/>
        <v>3496454.618</v>
      </c>
      <c r="I9" s="35" t="s">
        <v>48</v>
      </c>
      <c r="J9" s="19" t="s">
        <v>57</v>
      </c>
    </row>
    <row r="10" ht="50.25" customHeight="1">
      <c r="A10" s="44" t="s">
        <v>58</v>
      </c>
      <c r="B10" s="45" t="s">
        <v>59</v>
      </c>
      <c r="C10" s="46" t="s">
        <v>60</v>
      </c>
      <c r="D10" s="47" t="s">
        <v>63</v>
      </c>
      <c r="E10" s="49">
        <v>1800000.0</v>
      </c>
      <c r="F10" s="50">
        <f t="shared" si="1"/>
        <v>2142000</v>
      </c>
      <c r="G10" s="51">
        <f t="shared" si="2"/>
        <v>1010.769231</v>
      </c>
      <c r="H10" s="53">
        <f t="shared" si="3"/>
        <v>3942000</v>
      </c>
      <c r="I10" s="54" t="s">
        <v>48</v>
      </c>
      <c r="J10" s="47" t="s">
        <v>67</v>
      </c>
    </row>
    <row r="11" ht="15.0" hidden="1" customHeight="1">
      <c r="A11" s="56"/>
      <c r="B11" s="58"/>
      <c r="C11" s="58"/>
      <c r="D11" s="58"/>
      <c r="E11" s="58"/>
      <c r="F11" s="58"/>
      <c r="G11" s="58"/>
      <c r="H11" s="58"/>
      <c r="I11" s="58"/>
      <c r="J11" s="58"/>
    </row>
    <row r="12" ht="12.75" customHeight="1"/>
    <row r="13" ht="138.75" customHeight="1">
      <c r="A13" s="62" t="s">
        <v>69</v>
      </c>
      <c r="B13" s="4"/>
      <c r="C13" s="4"/>
      <c r="D13" s="4"/>
      <c r="E13" s="4"/>
      <c r="F13" s="4"/>
      <c r="G13" s="4"/>
      <c r="H13" s="4"/>
      <c r="I13" s="4"/>
      <c r="J13" s="5"/>
    </row>
    <row r="14" ht="12.75" customHeight="1"/>
    <row r="15" ht="75.0" customHeight="1">
      <c r="A15" s="62" t="s">
        <v>73</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67"/>
      <c r="E26" s="67"/>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fitToHeight="0" orientation="landscape"/>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c r="A1" s="1"/>
    </row>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9" t="s">
        <v>5</v>
      </c>
      <c r="C7" s="9" t="s">
        <v>11</v>
      </c>
      <c r="D7" s="9" t="s">
        <v>14</v>
      </c>
      <c r="E7" s="9" t="s">
        <v>15</v>
      </c>
      <c r="F7" s="13" t="s">
        <v>17</v>
      </c>
      <c r="G7" s="12" t="s">
        <v>22</v>
      </c>
      <c r="H7" s="9" t="s">
        <v>19</v>
      </c>
      <c r="I7" s="9" t="s">
        <v>24</v>
      </c>
      <c r="J7" s="9" t="s">
        <v>26</v>
      </c>
      <c r="K7" s="15"/>
      <c r="L7" s="15"/>
      <c r="M7" s="15"/>
      <c r="N7" s="15"/>
      <c r="O7" s="15"/>
      <c r="P7" s="15"/>
      <c r="Q7" s="15"/>
      <c r="R7" s="15"/>
      <c r="S7" s="15"/>
      <c r="T7" s="15"/>
      <c r="U7" s="15"/>
      <c r="V7" s="15"/>
      <c r="W7" s="15"/>
      <c r="X7" s="15"/>
      <c r="Y7" s="15"/>
      <c r="Z7" s="15"/>
    </row>
    <row r="8" ht="50.25" customHeight="1">
      <c r="A8" s="17" t="s">
        <v>27</v>
      </c>
      <c r="B8" s="20" t="s">
        <v>32</v>
      </c>
      <c r="C8" s="27" t="s">
        <v>34</v>
      </c>
      <c r="D8" s="25" t="s">
        <v>44</v>
      </c>
      <c r="E8" s="28">
        <v>415000.0</v>
      </c>
      <c r="F8" s="30">
        <f t="shared" ref="F8:F10" si="1">E8*1.19</f>
        <v>493850</v>
      </c>
      <c r="G8" s="32">
        <f t="shared" ref="G8:G10" si="2">(E8+F8)/3900</f>
        <v>233.0384615</v>
      </c>
      <c r="H8" s="37">
        <f t="shared" ref="H8:H10" si="3">G8*3900</f>
        <v>908850</v>
      </c>
      <c r="I8" s="38" t="s">
        <v>53</v>
      </c>
      <c r="J8" s="39" t="s">
        <v>54</v>
      </c>
    </row>
    <row r="9" ht="50.25" customHeight="1">
      <c r="A9" s="40" t="s">
        <v>50</v>
      </c>
      <c r="B9" s="41" t="s">
        <v>32</v>
      </c>
      <c r="C9" s="55" t="s">
        <v>55</v>
      </c>
      <c r="D9" s="47" t="s">
        <v>68</v>
      </c>
      <c r="E9" s="57">
        <v>650000.0</v>
      </c>
      <c r="F9" s="59">
        <f t="shared" si="1"/>
        <v>773500</v>
      </c>
      <c r="G9" s="51">
        <f t="shared" si="2"/>
        <v>365</v>
      </c>
      <c r="H9" s="61">
        <f t="shared" si="3"/>
        <v>1423500</v>
      </c>
      <c r="I9" s="45" t="s">
        <v>53</v>
      </c>
      <c r="J9" s="63" t="s">
        <v>70</v>
      </c>
    </row>
    <row r="10" ht="50.25" customHeight="1">
      <c r="A10" s="17" t="s">
        <v>58</v>
      </c>
      <c r="B10" s="64" t="s">
        <v>71</v>
      </c>
      <c r="C10" s="27" t="s">
        <v>72</v>
      </c>
      <c r="D10" s="70" t="s">
        <v>75</v>
      </c>
      <c r="E10" s="28">
        <v>444900.0</v>
      </c>
      <c r="F10" s="30">
        <f t="shared" si="1"/>
        <v>529431</v>
      </c>
      <c r="G10" s="32">
        <f t="shared" si="2"/>
        <v>249.8284615</v>
      </c>
      <c r="H10" s="37">
        <f t="shared" si="3"/>
        <v>974331</v>
      </c>
      <c r="I10" s="72" t="s">
        <v>61</v>
      </c>
      <c r="J10" s="39" t="s">
        <v>77</v>
      </c>
    </row>
    <row r="11" ht="15.0" hidden="1" customHeight="1">
      <c r="A11" s="56"/>
      <c r="B11" s="75"/>
      <c r="C11" s="75"/>
      <c r="D11" s="75"/>
      <c r="E11" s="75"/>
      <c r="F11" s="75"/>
      <c r="G11" s="75"/>
      <c r="H11" s="75"/>
      <c r="I11" s="75"/>
      <c r="J11" s="75"/>
    </row>
    <row r="12" ht="12.75" customHeight="1"/>
    <row r="13" ht="138.75" customHeight="1">
      <c r="A13" s="62" t="s">
        <v>81</v>
      </c>
      <c r="B13" s="4"/>
      <c r="C13" s="4"/>
      <c r="D13" s="4"/>
      <c r="E13" s="4"/>
      <c r="F13" s="4"/>
      <c r="G13" s="4"/>
      <c r="H13" s="4"/>
      <c r="I13" s="4"/>
      <c r="J13" s="5"/>
    </row>
    <row r="14" ht="12.75" customHeight="1"/>
    <row r="15" ht="75.0" customHeight="1">
      <c r="A15" s="62" t="s">
        <v>82</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67"/>
      <c r="E26" s="67"/>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location="polycard_client=recommendations_vip&amp;reco_backend=ranker_compl&amp;reco_model=rk_ent_v3_retsys_compl&amp;reco_client=vip&amp;reco_item_pos=2&amp;reco_backend_type=low_level&amp;reco_id=7e6b646a-be9c-4dcf-9fbc-9777dfc0aca0&amp;wid=MCO3045854278&amp;sid=recos" ref="C8"/>
    <hyperlink r:id="rId2" ref="C9"/>
    <hyperlink r:id="rId3" ref="C10"/>
  </hyperlinks>
  <printOptions/>
  <pageMargins bottom="0.75" footer="0.0" header="0.0" left="0.7" right="0.7" top="0.75"/>
  <pageSetup orientation="landscape"/>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7" t="s">
        <v>3</v>
      </c>
      <c r="C7" s="7" t="s">
        <v>6</v>
      </c>
      <c r="D7" s="7" t="s">
        <v>7</v>
      </c>
      <c r="E7" s="7" t="s">
        <v>9</v>
      </c>
      <c r="F7" s="10" t="s">
        <v>13</v>
      </c>
      <c r="G7" s="12" t="s">
        <v>18</v>
      </c>
      <c r="H7" s="7" t="s">
        <v>19</v>
      </c>
      <c r="I7" s="7" t="s">
        <v>20</v>
      </c>
      <c r="J7" s="7" t="s">
        <v>23</v>
      </c>
      <c r="K7" s="15"/>
      <c r="L7" s="15"/>
      <c r="M7" s="15"/>
      <c r="N7" s="15"/>
      <c r="O7" s="15"/>
      <c r="P7" s="15"/>
      <c r="Q7" s="15"/>
      <c r="R7" s="15"/>
      <c r="S7" s="15"/>
      <c r="T7" s="15"/>
      <c r="U7" s="15"/>
      <c r="V7" s="15"/>
      <c r="W7" s="15"/>
      <c r="X7" s="15"/>
      <c r="Y7" s="15"/>
      <c r="Z7" s="15"/>
    </row>
    <row r="8" ht="75.0" customHeight="1">
      <c r="A8" s="7" t="s">
        <v>27</v>
      </c>
      <c r="B8" s="16" t="s">
        <v>29</v>
      </c>
      <c r="C8" s="31" t="s">
        <v>30</v>
      </c>
      <c r="D8" s="19" t="s">
        <v>47</v>
      </c>
      <c r="E8" s="34">
        <v>899000.0</v>
      </c>
      <c r="F8" s="42">
        <f t="shared" ref="F8:F10" si="1">E8*1.19</f>
        <v>1069810</v>
      </c>
      <c r="G8" s="32">
        <f t="shared" ref="G8:G10" si="2">(E8+F8)/3900</f>
        <v>504.8230769</v>
      </c>
      <c r="H8" s="33">
        <f t="shared" ref="H8:H10" si="3">G8*3900</f>
        <v>1968810</v>
      </c>
      <c r="I8" s="35" t="s">
        <v>61</v>
      </c>
      <c r="J8" s="25" t="s">
        <v>62</v>
      </c>
    </row>
    <row r="9" ht="50.25" customHeight="1">
      <c r="A9" s="48" t="s">
        <v>50</v>
      </c>
      <c r="B9" s="52" t="s">
        <v>64</v>
      </c>
      <c r="C9" s="55" t="s">
        <v>66</v>
      </c>
      <c r="D9" s="66" t="s">
        <v>74</v>
      </c>
      <c r="E9" s="68">
        <v>549900.0</v>
      </c>
      <c r="F9" s="69">
        <f t="shared" si="1"/>
        <v>654381</v>
      </c>
      <c r="G9" s="51">
        <f t="shared" si="2"/>
        <v>308.79</v>
      </c>
      <c r="H9" s="61">
        <f t="shared" si="3"/>
        <v>1204281</v>
      </c>
      <c r="I9" s="73" t="s">
        <v>61</v>
      </c>
      <c r="J9" s="45" t="s">
        <v>78</v>
      </c>
    </row>
    <row r="10" ht="50.25" customHeight="1">
      <c r="A10" s="7" t="s">
        <v>58</v>
      </c>
      <c r="B10" s="16" t="s">
        <v>79</v>
      </c>
      <c r="C10" s="27" t="s">
        <v>80</v>
      </c>
      <c r="D10" s="60" t="s">
        <v>87</v>
      </c>
      <c r="E10" s="79">
        <v>600000.0</v>
      </c>
      <c r="F10" s="65">
        <f t="shared" si="1"/>
        <v>714000</v>
      </c>
      <c r="G10" s="32">
        <f t="shared" si="2"/>
        <v>336.9230769</v>
      </c>
      <c r="H10" s="71">
        <f t="shared" si="3"/>
        <v>1314000</v>
      </c>
      <c r="I10" s="72" t="s">
        <v>61</v>
      </c>
      <c r="J10" s="80" t="s">
        <v>89</v>
      </c>
    </row>
    <row r="11" ht="15.0" hidden="1" customHeight="1">
      <c r="A11" s="56"/>
      <c r="B11" s="75"/>
      <c r="C11" s="75"/>
      <c r="D11" s="75"/>
      <c r="E11" s="75"/>
      <c r="F11" s="75"/>
      <c r="G11" s="75"/>
      <c r="H11" s="75"/>
      <c r="I11" s="75"/>
      <c r="J11" s="75"/>
    </row>
    <row r="12" ht="12.75" customHeight="1"/>
    <row r="13" ht="138.75" customHeight="1">
      <c r="A13" s="62" t="s">
        <v>90</v>
      </c>
      <c r="B13" s="4"/>
      <c r="C13" s="4"/>
      <c r="D13" s="4"/>
      <c r="E13" s="4"/>
      <c r="F13" s="4"/>
      <c r="G13" s="4"/>
      <c r="H13" s="4"/>
      <c r="I13" s="4"/>
      <c r="J13" s="5"/>
    </row>
    <row r="14" ht="12.75" customHeight="1"/>
    <row r="15" ht="75.0" customHeight="1">
      <c r="A15" s="62" t="s">
        <v>91</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67"/>
      <c r="E26" s="67"/>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21" t="s">
        <v>2</v>
      </c>
      <c r="B7" s="8" t="s">
        <v>35</v>
      </c>
      <c r="C7" s="8" t="s">
        <v>36</v>
      </c>
      <c r="D7" s="8" t="s">
        <v>37</v>
      </c>
      <c r="E7" s="8" t="s">
        <v>38</v>
      </c>
      <c r="F7" s="22" t="s">
        <v>39</v>
      </c>
      <c r="G7" s="24" t="s">
        <v>40</v>
      </c>
      <c r="H7" s="8" t="s">
        <v>19</v>
      </c>
      <c r="I7" s="8" t="s">
        <v>42</v>
      </c>
      <c r="J7" s="8" t="s">
        <v>43</v>
      </c>
      <c r="K7" s="15"/>
      <c r="L7" s="15"/>
      <c r="M7" s="15"/>
      <c r="N7" s="15"/>
      <c r="O7" s="15"/>
      <c r="P7" s="15"/>
      <c r="Q7" s="15"/>
      <c r="R7" s="15"/>
      <c r="S7" s="15"/>
      <c r="T7" s="15"/>
      <c r="U7" s="15"/>
      <c r="V7" s="15"/>
      <c r="W7" s="15"/>
      <c r="X7" s="15"/>
      <c r="Y7" s="15"/>
      <c r="Z7" s="15"/>
    </row>
    <row r="8" ht="50.25" customHeight="1">
      <c r="A8" s="17" t="s">
        <v>27</v>
      </c>
      <c r="B8" s="19" t="s">
        <v>45</v>
      </c>
      <c r="C8" s="27" t="s">
        <v>46</v>
      </c>
      <c r="D8" s="60" t="s">
        <v>65</v>
      </c>
      <c r="E8" s="28">
        <v>150000.0</v>
      </c>
      <c r="F8" s="65">
        <f t="shared" ref="F8:F10" si="1">E8*1.19</f>
        <v>178500</v>
      </c>
      <c r="G8" s="32">
        <f t="shared" ref="G8:G10" si="2">(E8+F8)/3900</f>
        <v>84.23076923</v>
      </c>
      <c r="H8" s="71">
        <f t="shared" ref="H8:H10" si="3">G8*3900</f>
        <v>328500</v>
      </c>
      <c r="I8" s="72" t="s">
        <v>48</v>
      </c>
      <c r="J8" s="60" t="s">
        <v>76</v>
      </c>
    </row>
    <row r="9" ht="77.25" customHeight="1">
      <c r="A9" s="74" t="s">
        <v>50</v>
      </c>
      <c r="B9" s="76" t="s">
        <v>59</v>
      </c>
      <c r="C9" s="77" t="s">
        <v>60</v>
      </c>
      <c r="D9" s="45" t="s">
        <v>83</v>
      </c>
      <c r="E9" s="57">
        <v>0.0</v>
      </c>
      <c r="F9" s="73">
        <f t="shared" si="1"/>
        <v>0</v>
      </c>
      <c r="G9" s="51">
        <f t="shared" si="2"/>
        <v>0</v>
      </c>
      <c r="H9" s="61">
        <f t="shared" si="3"/>
        <v>0</v>
      </c>
      <c r="I9" s="45" t="s">
        <v>84</v>
      </c>
      <c r="J9" s="45" t="s">
        <v>85</v>
      </c>
    </row>
    <row r="10" ht="50.25" customHeight="1">
      <c r="A10" s="17" t="s">
        <v>58</v>
      </c>
      <c r="B10" s="78" t="s">
        <v>86</v>
      </c>
      <c r="C10" s="23" t="s">
        <v>88</v>
      </c>
      <c r="D10" s="81" t="s">
        <v>92</v>
      </c>
      <c r="E10" s="82">
        <v>94000.0</v>
      </c>
      <c r="F10" s="83">
        <f t="shared" si="1"/>
        <v>111860</v>
      </c>
      <c r="G10" s="32">
        <f t="shared" si="2"/>
        <v>52.78461538</v>
      </c>
      <c r="H10" s="71">
        <f t="shared" si="3"/>
        <v>205860</v>
      </c>
      <c r="I10" s="72" t="s">
        <v>48</v>
      </c>
      <c r="J10" s="60" t="s">
        <v>93</v>
      </c>
    </row>
    <row r="11" ht="15.0" hidden="1" customHeight="1">
      <c r="A11" s="56"/>
      <c r="B11" s="84"/>
      <c r="C11" s="35">
        <v>3.00892144E9</v>
      </c>
      <c r="D11" s="84"/>
      <c r="E11" s="84"/>
      <c r="F11" s="84"/>
      <c r="G11" s="85"/>
      <c r="H11" s="85"/>
      <c r="I11" s="85"/>
      <c r="J11" s="85"/>
    </row>
    <row r="12" ht="12.75" customHeight="1"/>
    <row r="13" ht="138.75" customHeight="1">
      <c r="A13" s="62" t="s">
        <v>94</v>
      </c>
      <c r="B13" s="4"/>
      <c r="C13" s="4"/>
      <c r="D13" s="4"/>
      <c r="E13" s="4"/>
      <c r="F13" s="4"/>
      <c r="G13" s="4"/>
      <c r="H13" s="4"/>
      <c r="I13" s="4"/>
      <c r="J13" s="5"/>
    </row>
    <row r="14" ht="12.75" customHeight="1"/>
    <row r="15" ht="75.0" customHeight="1">
      <c r="A15" s="62" t="s">
        <v>95</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67"/>
      <c r="E26" s="67"/>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D2:H2"/>
    <mergeCell ref="A5:J5"/>
    <mergeCell ref="B10:B11"/>
    <mergeCell ref="D10:D11"/>
    <mergeCell ref="E10:E11"/>
    <mergeCell ref="F10:F11"/>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8" t="s">
        <v>96</v>
      </c>
      <c r="C7" s="8" t="s">
        <v>97</v>
      </c>
      <c r="D7" s="8" t="s">
        <v>98</v>
      </c>
      <c r="E7" s="8" t="s">
        <v>99</v>
      </c>
      <c r="F7" s="11" t="s">
        <v>100</v>
      </c>
      <c r="G7" s="14" t="s">
        <v>101</v>
      </c>
      <c r="H7" s="8" t="s">
        <v>19</v>
      </c>
      <c r="I7" s="8" t="s">
        <v>102</v>
      </c>
      <c r="J7" s="8" t="s">
        <v>103</v>
      </c>
      <c r="K7" s="15"/>
      <c r="L7" s="15"/>
      <c r="M7" s="15"/>
      <c r="N7" s="15"/>
      <c r="O7" s="15"/>
      <c r="P7" s="15"/>
      <c r="Q7" s="15"/>
      <c r="R7" s="15"/>
      <c r="S7" s="15"/>
      <c r="T7" s="15"/>
      <c r="U7" s="15"/>
      <c r="V7" s="15"/>
      <c r="W7" s="15"/>
      <c r="X7" s="15"/>
      <c r="Y7" s="15"/>
      <c r="Z7" s="15"/>
    </row>
    <row r="8" ht="50.25" customHeight="1">
      <c r="A8" s="18" t="s">
        <v>27</v>
      </c>
      <c r="B8" s="35" t="s">
        <v>107</v>
      </c>
      <c r="C8" s="87" t="s">
        <v>109</v>
      </c>
      <c r="D8" s="89" t="s">
        <v>116</v>
      </c>
      <c r="E8" s="29">
        <v>102000.0</v>
      </c>
      <c r="F8" s="91">
        <f t="shared" ref="F8:F10" si="1">E8*1.19</f>
        <v>121380</v>
      </c>
      <c r="G8" s="94">
        <f t="shared" ref="G8:G10" si="2">(E8+F8)/3900</f>
        <v>57.27692308</v>
      </c>
      <c r="H8" s="33">
        <f t="shared" ref="H8:H10" si="3">G8*3900</f>
        <v>223380</v>
      </c>
      <c r="I8" s="35" t="s">
        <v>48</v>
      </c>
      <c r="J8" s="89" t="s">
        <v>122</v>
      </c>
    </row>
    <row r="9" ht="50.25" customHeight="1">
      <c r="A9" s="18" t="s">
        <v>50</v>
      </c>
      <c r="B9" s="19" t="s">
        <v>123</v>
      </c>
      <c r="C9" s="27" t="s">
        <v>124</v>
      </c>
      <c r="D9" s="60" t="s">
        <v>136</v>
      </c>
      <c r="E9" s="93">
        <v>310941.0</v>
      </c>
      <c r="F9" s="91">
        <f t="shared" si="1"/>
        <v>370019.79</v>
      </c>
      <c r="G9" s="94">
        <f t="shared" si="2"/>
        <v>174.6053308</v>
      </c>
      <c r="H9" s="33">
        <f t="shared" si="3"/>
        <v>680960.79</v>
      </c>
      <c r="I9" s="35" t="s">
        <v>48</v>
      </c>
      <c r="J9" s="25" t="s">
        <v>138</v>
      </c>
    </row>
    <row r="10" ht="50.25" customHeight="1">
      <c r="A10" s="44" t="s">
        <v>58</v>
      </c>
      <c r="B10" s="47" t="s">
        <v>45</v>
      </c>
      <c r="C10" s="96" t="s">
        <v>139</v>
      </c>
      <c r="D10" s="47" t="s">
        <v>141</v>
      </c>
      <c r="E10" s="49">
        <v>265000.0</v>
      </c>
      <c r="F10" s="50">
        <f t="shared" si="1"/>
        <v>315350</v>
      </c>
      <c r="G10" s="97">
        <f t="shared" si="2"/>
        <v>148.8076923</v>
      </c>
      <c r="H10" s="53">
        <f t="shared" si="3"/>
        <v>580350</v>
      </c>
      <c r="I10" s="54" t="s">
        <v>48</v>
      </c>
      <c r="J10" s="47" t="s">
        <v>145</v>
      </c>
    </row>
    <row r="11" ht="15.0" hidden="1" customHeight="1">
      <c r="A11" s="56"/>
      <c r="B11" s="58"/>
      <c r="C11" s="58"/>
      <c r="D11" s="58"/>
      <c r="E11" s="58"/>
      <c r="F11" s="58"/>
      <c r="G11" s="58"/>
      <c r="H11" s="58"/>
      <c r="I11" s="58"/>
      <c r="J11" s="58"/>
    </row>
    <row r="12" ht="12.75" customHeight="1"/>
    <row r="13" ht="138.75" customHeight="1">
      <c r="A13" s="62" t="s">
        <v>146</v>
      </c>
      <c r="B13" s="4"/>
      <c r="C13" s="4"/>
      <c r="D13" s="4"/>
      <c r="E13" s="4"/>
      <c r="F13" s="4"/>
      <c r="G13" s="4"/>
      <c r="H13" s="4"/>
      <c r="I13" s="4"/>
      <c r="J13" s="5"/>
    </row>
    <row r="14" ht="12.75" customHeight="1"/>
    <row r="15" ht="75.0" customHeight="1">
      <c r="A15" s="62" t="s">
        <v>147</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67"/>
      <c r="E26" s="67"/>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location="searchVariation=MCO19035706&amp;position=7&amp;search_layout=stack&amp;type=product&amp;tracking_id=d2347602-d832-46e2-b62a-c4c325617137" ref="C8"/>
    <hyperlink r:id="rId2" ref="C9"/>
    <hyperlink r:id="rId3" ref="C10"/>
  </hyperlinks>
  <printOptions/>
  <pageMargins bottom="0.75" footer="0.0" header="0.0" left="0.7" right="0.7" top="0.75"/>
  <pageSetup orientation="landscape"/>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8" t="s">
        <v>104</v>
      </c>
      <c r="C7" s="8" t="s">
        <v>105</v>
      </c>
      <c r="D7" s="8" t="s">
        <v>106</v>
      </c>
      <c r="E7" s="8" t="s">
        <v>108</v>
      </c>
      <c r="F7" s="11" t="s">
        <v>110</v>
      </c>
      <c r="G7" s="86" t="s">
        <v>111</v>
      </c>
      <c r="H7" s="8" t="s">
        <v>19</v>
      </c>
      <c r="I7" s="8" t="s">
        <v>112</v>
      </c>
      <c r="J7" s="8" t="s">
        <v>113</v>
      </c>
      <c r="K7" s="15"/>
      <c r="L7" s="15"/>
      <c r="M7" s="15"/>
      <c r="N7" s="15"/>
      <c r="O7" s="15"/>
      <c r="P7" s="15"/>
      <c r="Q7" s="15"/>
      <c r="R7" s="15"/>
      <c r="S7" s="15"/>
      <c r="T7" s="15"/>
      <c r="U7" s="15"/>
      <c r="V7" s="15"/>
      <c r="W7" s="15"/>
      <c r="X7" s="15"/>
      <c r="Y7" s="15"/>
      <c r="Z7" s="15"/>
    </row>
    <row r="8" ht="50.25" customHeight="1">
      <c r="A8" s="44" t="s">
        <v>27</v>
      </c>
      <c r="B8" s="76" t="s">
        <v>114</v>
      </c>
      <c r="C8" s="88"/>
      <c r="D8" s="47" t="s">
        <v>115</v>
      </c>
      <c r="E8" s="49">
        <v>0.0</v>
      </c>
      <c r="F8" s="50">
        <f t="shared" ref="F8:F10" si="1">E8*1.19</f>
        <v>0</v>
      </c>
      <c r="G8" s="51">
        <f t="shared" ref="G8:G10" si="2">(F8+E8)/3900</f>
        <v>0</v>
      </c>
      <c r="H8" s="53">
        <f t="shared" ref="H8:H10" si="3">G8*3900</f>
        <v>0</v>
      </c>
      <c r="I8" s="47"/>
      <c r="J8" s="90"/>
    </row>
    <row r="9" ht="50.25" customHeight="1">
      <c r="A9" s="18" t="s">
        <v>50</v>
      </c>
      <c r="B9" s="36" t="s">
        <v>117</v>
      </c>
      <c r="C9" s="92"/>
      <c r="D9" s="25" t="s">
        <v>118</v>
      </c>
      <c r="E9" s="93">
        <v>4760000.0</v>
      </c>
      <c r="F9" s="91">
        <f t="shared" si="1"/>
        <v>5664400</v>
      </c>
      <c r="G9" s="32">
        <f t="shared" si="2"/>
        <v>2672.923077</v>
      </c>
      <c r="H9" s="33">
        <f t="shared" si="3"/>
        <v>10424400</v>
      </c>
      <c r="I9" s="19" t="s">
        <v>119</v>
      </c>
      <c r="J9" s="25" t="s">
        <v>120</v>
      </c>
    </row>
    <row r="10" ht="50.25" customHeight="1">
      <c r="A10" s="18" t="s">
        <v>58</v>
      </c>
      <c r="B10" s="36" t="s">
        <v>121</v>
      </c>
      <c r="C10" s="95"/>
      <c r="D10" s="25" t="s">
        <v>125</v>
      </c>
      <c r="E10" s="93">
        <v>6899900.0</v>
      </c>
      <c r="F10" s="91">
        <f t="shared" si="1"/>
        <v>8210881</v>
      </c>
      <c r="G10" s="32">
        <f t="shared" si="2"/>
        <v>3874.559231</v>
      </c>
      <c r="H10" s="33">
        <f t="shared" si="3"/>
        <v>15110781</v>
      </c>
      <c r="I10" s="19" t="s">
        <v>119</v>
      </c>
      <c r="J10" s="19" t="s">
        <v>126</v>
      </c>
    </row>
    <row r="11" ht="15.0" hidden="1" customHeight="1">
      <c r="A11" s="56"/>
      <c r="B11" s="58"/>
      <c r="C11" s="58"/>
      <c r="D11" s="58"/>
      <c r="E11" s="58"/>
      <c r="F11" s="58"/>
      <c r="G11" s="58"/>
      <c r="H11" s="58"/>
      <c r="I11" s="58"/>
      <c r="J11" s="58"/>
    </row>
    <row r="12" ht="12.75" customHeight="1"/>
    <row r="13" ht="138.75" customHeight="1">
      <c r="A13" s="62" t="s">
        <v>128</v>
      </c>
      <c r="B13" s="4"/>
      <c r="C13" s="4"/>
      <c r="D13" s="4"/>
      <c r="E13" s="4"/>
      <c r="F13" s="4"/>
      <c r="G13" s="4"/>
      <c r="H13" s="4"/>
      <c r="I13" s="4"/>
      <c r="J13" s="5"/>
    </row>
    <row r="14" ht="12.75" customHeight="1"/>
    <row r="15" ht="75.0" customHeight="1">
      <c r="A15" s="62" t="s">
        <v>132</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67"/>
      <c r="E26" s="67"/>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8" t="s">
        <v>127</v>
      </c>
      <c r="C7" s="8" t="s">
        <v>129</v>
      </c>
      <c r="D7" s="8" t="s">
        <v>130</v>
      </c>
      <c r="E7" s="8" t="s">
        <v>131</v>
      </c>
      <c r="F7" s="11" t="s">
        <v>133</v>
      </c>
      <c r="G7" s="14" t="s">
        <v>134</v>
      </c>
      <c r="H7" s="8" t="s">
        <v>19</v>
      </c>
      <c r="I7" s="8" t="s">
        <v>135</v>
      </c>
      <c r="J7" s="8" t="s">
        <v>137</v>
      </c>
      <c r="K7" s="15"/>
      <c r="L7" s="15"/>
      <c r="M7" s="15"/>
      <c r="N7" s="15"/>
      <c r="O7" s="15"/>
      <c r="P7" s="15"/>
      <c r="Q7" s="15"/>
      <c r="R7" s="15"/>
      <c r="S7" s="15"/>
      <c r="T7" s="15"/>
      <c r="U7" s="15"/>
      <c r="V7" s="15"/>
      <c r="W7" s="15"/>
      <c r="X7" s="15"/>
      <c r="Y7" s="15"/>
      <c r="Z7" s="15"/>
    </row>
    <row r="8" ht="50.25" customHeight="1">
      <c r="A8" s="44" t="s">
        <v>27</v>
      </c>
      <c r="B8" s="47" t="s">
        <v>59</v>
      </c>
      <c r="C8" s="55" t="s">
        <v>60</v>
      </c>
      <c r="D8" s="76" t="s">
        <v>140</v>
      </c>
      <c r="E8" s="49">
        <v>0.0</v>
      </c>
      <c r="F8" s="50">
        <f t="shared" ref="F8:F10" si="1">E8*1.19</f>
        <v>0</v>
      </c>
      <c r="G8" s="51">
        <f t="shared" ref="G8:G10" si="2">(F8+E8)/3900</f>
        <v>0</v>
      </c>
      <c r="H8" s="53">
        <f t="shared" ref="H8:H10" si="3">G8*3900</f>
        <v>0</v>
      </c>
      <c r="I8" s="47" t="s">
        <v>84</v>
      </c>
      <c r="J8" s="47" t="s">
        <v>142</v>
      </c>
    </row>
    <row r="9" ht="50.25" customHeight="1">
      <c r="A9" s="18" t="s">
        <v>50</v>
      </c>
      <c r="B9" s="36" t="s">
        <v>143</v>
      </c>
      <c r="C9" s="98" t="s">
        <v>144</v>
      </c>
      <c r="D9" s="25" t="s">
        <v>149</v>
      </c>
      <c r="E9" s="93">
        <v>150000.0</v>
      </c>
      <c r="F9" s="91">
        <f t="shared" si="1"/>
        <v>178500</v>
      </c>
      <c r="G9" s="32">
        <f t="shared" si="2"/>
        <v>84.23076923</v>
      </c>
      <c r="H9" s="33">
        <f t="shared" si="3"/>
        <v>328500</v>
      </c>
      <c r="I9" s="19" t="s">
        <v>119</v>
      </c>
      <c r="J9" s="89" t="s">
        <v>156</v>
      </c>
      <c r="L9" s="99" t="s">
        <v>157</v>
      </c>
    </row>
    <row r="10" ht="50.25" customHeight="1">
      <c r="A10" s="18" t="s">
        <v>58</v>
      </c>
      <c r="B10" s="19" t="s">
        <v>159</v>
      </c>
      <c r="C10" s="98" t="s">
        <v>160</v>
      </c>
      <c r="D10" s="60" t="s">
        <v>163</v>
      </c>
      <c r="E10" s="100">
        <v>154900.0</v>
      </c>
      <c r="F10" s="30">
        <f t="shared" si="1"/>
        <v>184331</v>
      </c>
      <c r="G10" s="32">
        <f t="shared" si="2"/>
        <v>86.98230769</v>
      </c>
      <c r="H10" s="71">
        <f t="shared" si="3"/>
        <v>339231</v>
      </c>
      <c r="I10" s="38" t="s">
        <v>119</v>
      </c>
      <c r="J10" s="60" t="s">
        <v>165</v>
      </c>
    </row>
    <row r="11" ht="15.0" hidden="1" customHeight="1">
      <c r="A11" s="56"/>
      <c r="B11" s="58"/>
      <c r="C11" s="58"/>
      <c r="D11" s="58"/>
      <c r="E11" s="58"/>
      <c r="F11" s="58"/>
      <c r="G11" s="58"/>
      <c r="H11" s="58"/>
      <c r="I11" s="58"/>
      <c r="J11" s="58"/>
    </row>
    <row r="12" ht="12.75" customHeight="1"/>
    <row r="13" ht="138.75" customHeight="1">
      <c r="A13" s="62" t="s">
        <v>166</v>
      </c>
      <c r="B13" s="4"/>
      <c r="C13" s="4"/>
      <c r="D13" s="4"/>
      <c r="E13" s="4"/>
      <c r="F13" s="4"/>
      <c r="G13" s="4"/>
      <c r="H13" s="4"/>
      <c r="I13" s="4"/>
      <c r="J13" s="5"/>
    </row>
    <row r="14" ht="12.75" customHeight="1"/>
    <row r="15" ht="75.0" customHeight="1">
      <c r="A15" s="62" t="s">
        <v>168</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67"/>
      <c r="E26" s="67"/>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location="polycard_client=search-nordic&amp;search_layout=stack&amp;position=1&amp;type=product&amp;tracking_id=6eda7fb7-da2c-414d-a157-04d3a3cd24e0&amp;wid=MCO1656663117&amp;sid=search" ref="C10"/>
  </hyperlinks>
  <printOptions/>
  <pageMargins bottom="0.75" footer="0.0" header="0.0" left="0.7" right="0.7" top="0.75"/>
  <pageSetup orientation="landscape"/>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8" t="s">
        <v>148</v>
      </c>
      <c r="C7" s="8" t="s">
        <v>150</v>
      </c>
      <c r="D7" s="8" t="s">
        <v>151</v>
      </c>
      <c r="E7" s="8" t="s">
        <v>152</v>
      </c>
      <c r="F7" s="11" t="s">
        <v>153</v>
      </c>
      <c r="G7" s="14" t="s">
        <v>154</v>
      </c>
      <c r="H7" s="8" t="s">
        <v>19</v>
      </c>
      <c r="I7" s="8" t="s">
        <v>155</v>
      </c>
      <c r="J7" s="8" t="s">
        <v>158</v>
      </c>
      <c r="K7" s="15"/>
      <c r="L7" s="15"/>
      <c r="M7" s="15"/>
      <c r="N7" s="15"/>
      <c r="O7" s="15"/>
      <c r="P7" s="15"/>
      <c r="Q7" s="15"/>
      <c r="R7" s="15"/>
      <c r="S7" s="15"/>
      <c r="T7" s="15"/>
      <c r="U7" s="15"/>
      <c r="V7" s="15"/>
      <c r="W7" s="15"/>
      <c r="X7" s="15"/>
      <c r="Y7" s="15"/>
      <c r="Z7" s="15"/>
    </row>
    <row r="8" ht="50.25" customHeight="1">
      <c r="A8" s="18" t="s">
        <v>27</v>
      </c>
      <c r="B8" s="38" t="s">
        <v>161</v>
      </c>
      <c r="C8" s="23" t="s">
        <v>162</v>
      </c>
      <c r="D8" s="60" t="s">
        <v>164</v>
      </c>
      <c r="E8" s="28">
        <v>632773.11</v>
      </c>
      <c r="F8" s="30">
        <f t="shared" ref="F8:F10" si="1">E8*1.19</f>
        <v>753000.0009</v>
      </c>
      <c r="G8" s="32">
        <f t="shared" ref="G8:G10" si="2">(F8+E8)/3900</f>
        <v>355.3264387</v>
      </c>
      <c r="H8" s="101">
        <f t="shared" ref="H8:H10" si="3">G8*3900</f>
        <v>1385773.111</v>
      </c>
      <c r="I8" s="72" t="s">
        <v>48</v>
      </c>
      <c r="J8" s="60" t="s">
        <v>167</v>
      </c>
    </row>
    <row r="9" ht="50.25" customHeight="1">
      <c r="A9" s="18" t="s">
        <v>50</v>
      </c>
      <c r="B9" s="38" t="s">
        <v>169</v>
      </c>
      <c r="C9" s="27" t="s">
        <v>170</v>
      </c>
      <c r="D9" s="60" t="s">
        <v>171</v>
      </c>
      <c r="E9" s="28">
        <v>566386.56</v>
      </c>
      <c r="F9" s="30">
        <f t="shared" si="1"/>
        <v>674000.0064</v>
      </c>
      <c r="G9" s="32">
        <f t="shared" si="2"/>
        <v>318.0478375</v>
      </c>
      <c r="H9" s="101">
        <f t="shared" si="3"/>
        <v>1240386.566</v>
      </c>
      <c r="I9" s="72" t="s">
        <v>48</v>
      </c>
      <c r="J9" s="102" t="s">
        <v>172</v>
      </c>
    </row>
    <row r="10" ht="50.25" customHeight="1">
      <c r="A10" s="44" t="s">
        <v>58</v>
      </c>
      <c r="B10" s="45" t="s">
        <v>59</v>
      </c>
      <c r="C10" s="55" t="s">
        <v>173</v>
      </c>
      <c r="D10" s="45" t="s">
        <v>174</v>
      </c>
      <c r="E10" s="57"/>
      <c r="F10" s="59">
        <f t="shared" si="1"/>
        <v>0</v>
      </c>
      <c r="G10" s="51">
        <f t="shared" si="2"/>
        <v>0</v>
      </c>
      <c r="H10" s="103">
        <f t="shared" si="3"/>
        <v>0</v>
      </c>
      <c r="I10" s="45" t="s">
        <v>84</v>
      </c>
      <c r="J10" s="104" t="s">
        <v>175</v>
      </c>
    </row>
    <row r="11" ht="15.0" hidden="1" customHeight="1">
      <c r="A11" s="56"/>
      <c r="B11" s="58"/>
      <c r="C11" s="58"/>
      <c r="D11" s="58"/>
      <c r="E11" s="58"/>
      <c r="F11" s="58"/>
      <c r="G11" s="58"/>
      <c r="H11" s="58"/>
      <c r="I11" s="58"/>
      <c r="J11" s="58"/>
    </row>
    <row r="12" ht="12.75" customHeight="1"/>
    <row r="13" ht="138.75" customHeight="1">
      <c r="A13" s="105" t="s">
        <v>176</v>
      </c>
      <c r="B13" s="4"/>
      <c r="C13" s="4"/>
      <c r="D13" s="4"/>
      <c r="E13" s="4"/>
      <c r="F13" s="4"/>
      <c r="G13" s="4"/>
      <c r="H13" s="4"/>
      <c r="I13" s="4"/>
      <c r="J13" s="5"/>
    </row>
    <row r="14" ht="12.75" customHeight="1"/>
    <row r="15" ht="75.0" customHeight="1">
      <c r="A15" s="62" t="s">
        <v>177</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67"/>
      <c r="E26" s="67"/>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location="polycard_client=search_best-seller-categories&amp;tracking_id=513e9df8-cff3-4deb-bc0a-6465786e5ce8&amp;wid=MCO2381106026&amp;sid=search" ref="C8"/>
    <hyperlink r:id="rId2" ref="C9"/>
    <hyperlink r:id="rId3" ref="C10"/>
  </hyperlinks>
  <printOptions/>
  <pageMargins bottom="0.75" footer="0.0" header="0.0" left="0.7" right="0.7" top="0.75"/>
  <pageSetup orientation="landscape"/>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106">
        <v>0.0</v>
      </c>
      <c r="B5" s="4"/>
      <c r="C5" s="4"/>
      <c r="D5" s="4"/>
      <c r="E5" s="4"/>
      <c r="F5" s="4"/>
      <c r="G5" s="4"/>
      <c r="H5" s="4"/>
      <c r="I5" s="4"/>
      <c r="J5" s="5"/>
    </row>
    <row r="6" ht="15.75" customHeight="1"/>
    <row r="7" ht="75.75" customHeight="1">
      <c r="A7" s="6" t="s">
        <v>2</v>
      </c>
      <c r="B7" s="8" t="s">
        <v>178</v>
      </c>
      <c r="C7" s="8" t="s">
        <v>179</v>
      </c>
      <c r="D7" s="8" t="s">
        <v>180</v>
      </c>
      <c r="E7" s="8" t="s">
        <v>181</v>
      </c>
      <c r="F7" s="11" t="s">
        <v>182</v>
      </c>
      <c r="G7" s="14" t="s">
        <v>183</v>
      </c>
      <c r="H7" s="8" t="s">
        <v>19</v>
      </c>
      <c r="I7" s="8" t="s">
        <v>184</v>
      </c>
      <c r="J7" s="8" t="s">
        <v>185</v>
      </c>
      <c r="K7" s="15"/>
      <c r="L7" s="15"/>
      <c r="M7" s="15"/>
      <c r="N7" s="15"/>
      <c r="O7" s="15"/>
      <c r="P7" s="15"/>
      <c r="Q7" s="15"/>
      <c r="R7" s="15"/>
      <c r="S7" s="15"/>
      <c r="T7" s="15"/>
      <c r="U7" s="15"/>
      <c r="V7" s="15"/>
      <c r="W7" s="15"/>
      <c r="X7" s="15"/>
      <c r="Y7" s="15"/>
      <c r="Z7" s="15"/>
    </row>
    <row r="8" ht="50.25" customHeight="1">
      <c r="A8" s="44" t="s">
        <v>27</v>
      </c>
      <c r="B8" s="73" t="s">
        <v>45</v>
      </c>
      <c r="C8" s="107" t="s">
        <v>186</v>
      </c>
      <c r="D8" s="73" t="s">
        <v>187</v>
      </c>
      <c r="E8" s="57">
        <v>0.0</v>
      </c>
      <c r="F8" s="59">
        <f t="shared" ref="F8:F10" si="1">E8*1.19</f>
        <v>0</v>
      </c>
      <c r="G8" s="51">
        <f t="shared" ref="G8:G10" si="2">(E8+F8)/3900</f>
        <v>0</v>
      </c>
      <c r="H8" s="61">
        <f t="shared" ref="H8:H10" si="3">G8*3900</f>
        <v>0</v>
      </c>
      <c r="I8" s="45" t="s">
        <v>84</v>
      </c>
      <c r="J8" s="108" t="s">
        <v>188</v>
      </c>
    </row>
    <row r="9" ht="50.25" customHeight="1">
      <c r="A9" s="18" t="s">
        <v>50</v>
      </c>
      <c r="B9" s="109" t="s">
        <v>29</v>
      </c>
      <c r="C9" s="87" t="s">
        <v>189</v>
      </c>
      <c r="D9" s="110" t="s">
        <v>190</v>
      </c>
      <c r="E9" s="111">
        <v>99900.0</v>
      </c>
      <c r="F9" s="91">
        <f t="shared" si="1"/>
        <v>118881</v>
      </c>
      <c r="G9" s="32">
        <f t="shared" si="2"/>
        <v>56.09769231</v>
      </c>
      <c r="H9" s="33">
        <f t="shared" si="3"/>
        <v>218781</v>
      </c>
      <c r="I9" s="35" t="s">
        <v>61</v>
      </c>
      <c r="J9" s="112"/>
    </row>
    <row r="10" ht="50.25" customHeight="1">
      <c r="A10" s="18" t="s">
        <v>58</v>
      </c>
      <c r="B10" s="113" t="s">
        <v>191</v>
      </c>
      <c r="C10" s="87" t="s">
        <v>192</v>
      </c>
      <c r="D10" s="113" t="s">
        <v>193</v>
      </c>
      <c r="E10" s="114">
        <v>43900.0</v>
      </c>
      <c r="F10" s="114">
        <f t="shared" si="1"/>
        <v>52241</v>
      </c>
      <c r="G10" s="32">
        <f t="shared" si="2"/>
        <v>24.65153846</v>
      </c>
      <c r="H10" s="33">
        <f t="shared" si="3"/>
        <v>96141</v>
      </c>
      <c r="I10" s="35" t="s">
        <v>61</v>
      </c>
      <c r="J10" s="115"/>
    </row>
    <row r="11" ht="15.0" hidden="1" customHeight="1">
      <c r="A11" s="116"/>
      <c r="B11" s="84"/>
      <c r="C11" s="35" t="s">
        <v>202</v>
      </c>
      <c r="D11" s="84"/>
      <c r="E11" s="84"/>
      <c r="F11" s="84"/>
      <c r="G11" s="117"/>
      <c r="H11" s="117"/>
      <c r="I11" s="117"/>
      <c r="J11" s="117"/>
    </row>
    <row r="12" ht="12.75" customHeight="1"/>
    <row r="13" ht="138.75" customHeight="1">
      <c r="A13" s="62" t="s">
        <v>203</v>
      </c>
      <c r="B13" s="4"/>
      <c r="C13" s="4"/>
      <c r="D13" s="4"/>
      <c r="E13" s="4"/>
      <c r="F13" s="4"/>
      <c r="G13" s="4"/>
      <c r="H13" s="4"/>
      <c r="I13" s="4"/>
      <c r="J13" s="5"/>
    </row>
    <row r="14" ht="12.75" customHeight="1"/>
    <row r="15" ht="75.0" customHeight="1">
      <c r="A15" s="62" t="s">
        <v>207</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67"/>
      <c r="E26" s="67"/>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D2:H2"/>
    <mergeCell ref="A5:J5"/>
    <mergeCell ref="B10:B11"/>
    <mergeCell ref="D10:D11"/>
    <mergeCell ref="E10:E11"/>
    <mergeCell ref="F10:F11"/>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8" t="s">
        <v>194</v>
      </c>
      <c r="C7" s="8" t="s">
        <v>195</v>
      </c>
      <c r="D7" s="8" t="s">
        <v>196</v>
      </c>
      <c r="E7" s="8" t="s">
        <v>197</v>
      </c>
      <c r="F7" s="11" t="s">
        <v>198</v>
      </c>
      <c r="G7" s="14" t="s">
        <v>199</v>
      </c>
      <c r="H7" s="8" t="s">
        <v>19</v>
      </c>
      <c r="I7" s="8" t="s">
        <v>200</v>
      </c>
      <c r="J7" s="8" t="s">
        <v>201</v>
      </c>
      <c r="K7" s="15"/>
      <c r="L7" s="15"/>
      <c r="M7" s="15"/>
      <c r="N7" s="15"/>
      <c r="O7" s="15"/>
      <c r="P7" s="15"/>
      <c r="Q7" s="15"/>
      <c r="R7" s="15"/>
      <c r="S7" s="15"/>
      <c r="T7" s="15"/>
      <c r="U7" s="15"/>
      <c r="V7" s="15"/>
      <c r="W7" s="15"/>
      <c r="X7" s="15"/>
      <c r="Y7" s="15"/>
      <c r="Z7" s="15"/>
    </row>
    <row r="8" ht="50.25" customHeight="1">
      <c r="A8" s="44" t="s">
        <v>27</v>
      </c>
      <c r="B8" s="47"/>
      <c r="C8" s="118"/>
      <c r="D8" s="119" t="s">
        <v>204</v>
      </c>
      <c r="E8" s="49">
        <v>29338.0</v>
      </c>
      <c r="F8" s="50">
        <f t="shared" ref="F8:F10" si="1">E8*1.19</f>
        <v>34912.22</v>
      </c>
      <c r="G8" s="51">
        <f t="shared" ref="G8:G10" si="2">(E8+F8)/3900</f>
        <v>16.47441538</v>
      </c>
      <c r="H8" s="120">
        <f t="shared" ref="H8:H10" si="3">G8*3900</f>
        <v>64250.22</v>
      </c>
      <c r="I8" s="121" t="s">
        <v>84</v>
      </c>
      <c r="J8" s="122" t="s">
        <v>214</v>
      </c>
    </row>
    <row r="9" ht="50.25" customHeight="1">
      <c r="A9" s="18" t="s">
        <v>50</v>
      </c>
      <c r="B9" s="109" t="s">
        <v>215</v>
      </c>
      <c r="C9" s="87" t="s">
        <v>216</v>
      </c>
      <c r="D9" s="35" t="s">
        <v>217</v>
      </c>
      <c r="E9" s="91">
        <v>69900.0</v>
      </c>
      <c r="F9" s="91">
        <f t="shared" si="1"/>
        <v>83181</v>
      </c>
      <c r="G9" s="32">
        <f t="shared" si="2"/>
        <v>39.25153846</v>
      </c>
      <c r="H9" s="123">
        <f t="shared" si="3"/>
        <v>153081</v>
      </c>
      <c r="I9" s="124" t="s">
        <v>48</v>
      </c>
      <c r="J9" s="125" t="s">
        <v>218</v>
      </c>
    </row>
    <row r="10" ht="50.25" customHeight="1">
      <c r="A10" s="18" t="s">
        <v>58</v>
      </c>
      <c r="B10" s="19" t="s">
        <v>191</v>
      </c>
      <c r="C10" s="27" t="s">
        <v>220</v>
      </c>
      <c r="D10" s="19" t="s">
        <v>223</v>
      </c>
      <c r="E10" s="93">
        <v>59900.0</v>
      </c>
      <c r="F10" s="91">
        <f t="shared" si="1"/>
        <v>71281</v>
      </c>
      <c r="G10" s="32">
        <f t="shared" si="2"/>
        <v>33.63615385</v>
      </c>
      <c r="H10" s="123">
        <f t="shared" si="3"/>
        <v>131181</v>
      </c>
      <c r="I10" s="124" t="s">
        <v>48</v>
      </c>
      <c r="J10" s="126"/>
    </row>
    <row r="11" ht="15.0" hidden="1" customHeight="1">
      <c r="A11" s="56"/>
      <c r="B11" s="58"/>
      <c r="C11" s="58"/>
      <c r="D11" s="58"/>
      <c r="E11" s="58"/>
      <c r="F11" s="58"/>
      <c r="G11" s="58"/>
      <c r="H11" s="58"/>
      <c r="I11" s="127" t="s">
        <v>48</v>
      </c>
      <c r="J11" s="58"/>
    </row>
    <row r="12" ht="12.75" customHeight="1"/>
    <row r="13" ht="138.75" customHeight="1">
      <c r="A13" s="62" t="s">
        <v>227</v>
      </c>
      <c r="B13" s="4"/>
      <c r="C13" s="4"/>
      <c r="D13" s="4"/>
      <c r="E13" s="4"/>
      <c r="F13" s="4"/>
      <c r="G13" s="4"/>
      <c r="H13" s="4"/>
      <c r="I13" s="4"/>
      <c r="J13" s="5"/>
    </row>
    <row r="14" ht="12.75" customHeight="1"/>
    <row r="15" ht="75.0" customHeight="1">
      <c r="A15" s="62" t="s">
        <v>229</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67"/>
      <c r="E26" s="67"/>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9"/>
    <hyperlink r:id="rId2" ref="C10"/>
  </hyperlinks>
  <printOptions/>
  <pageMargins bottom="0.75" footer="0.0" header="0.0" left="0.7" right="0.7" top="0.75"/>
  <pageSetup orientation="landscape"/>
  <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8" t="s">
        <v>205</v>
      </c>
      <c r="C7" s="8" t="s">
        <v>206</v>
      </c>
      <c r="D7" s="8" t="s">
        <v>208</v>
      </c>
      <c r="E7" s="8" t="s">
        <v>209</v>
      </c>
      <c r="F7" s="11" t="s">
        <v>210</v>
      </c>
      <c r="G7" s="14" t="s">
        <v>211</v>
      </c>
      <c r="H7" s="8" t="s">
        <v>19</v>
      </c>
      <c r="I7" s="8" t="s">
        <v>212</v>
      </c>
      <c r="J7" s="8" t="s">
        <v>213</v>
      </c>
      <c r="K7" s="15"/>
      <c r="L7" s="15"/>
      <c r="M7" s="15"/>
      <c r="N7" s="15"/>
      <c r="O7" s="15"/>
      <c r="P7" s="15"/>
      <c r="Q7" s="15"/>
      <c r="R7" s="15"/>
      <c r="S7" s="15"/>
      <c r="T7" s="15"/>
      <c r="U7" s="15"/>
      <c r="V7" s="15"/>
      <c r="W7" s="15"/>
      <c r="X7" s="15"/>
      <c r="Y7" s="15"/>
      <c r="Z7" s="15"/>
    </row>
    <row r="8" ht="50.25" customHeight="1">
      <c r="A8" s="18" t="s">
        <v>27</v>
      </c>
      <c r="B8" s="19" t="s">
        <v>31</v>
      </c>
      <c r="C8" s="23" t="s">
        <v>33</v>
      </c>
      <c r="D8" s="25" t="s">
        <v>41</v>
      </c>
      <c r="E8" s="26">
        <v>4994286.55</v>
      </c>
      <c r="F8" s="29">
        <f t="shared" ref="F8:F10" si="1">E8*1.19</f>
        <v>5943200.995</v>
      </c>
      <c r="G8" s="32">
        <f t="shared" ref="G8:G10" si="2">(E8+F8)/3900</f>
        <v>2804.483986</v>
      </c>
      <c r="H8" s="33">
        <f t="shared" ref="H8:H10" si="3">G8*3900</f>
        <v>10937487.54</v>
      </c>
      <c r="I8" s="35" t="s">
        <v>48</v>
      </c>
      <c r="J8" s="25" t="s">
        <v>49</v>
      </c>
    </row>
    <row r="9" ht="50.25" customHeight="1">
      <c r="A9" s="18" t="s">
        <v>50</v>
      </c>
      <c r="B9" s="36" t="s">
        <v>51</v>
      </c>
      <c r="C9" s="23" t="s">
        <v>219</v>
      </c>
      <c r="D9" s="25" t="s">
        <v>221</v>
      </c>
      <c r="E9" s="43">
        <v>354000.0</v>
      </c>
      <c r="F9" s="29">
        <f t="shared" si="1"/>
        <v>421260</v>
      </c>
      <c r="G9" s="32">
        <f t="shared" si="2"/>
        <v>198.7846154</v>
      </c>
      <c r="H9" s="33">
        <f t="shared" si="3"/>
        <v>775260</v>
      </c>
      <c r="I9" s="35" t="s">
        <v>48</v>
      </c>
      <c r="J9" s="19" t="s">
        <v>222</v>
      </c>
    </row>
    <row r="10" ht="50.25" customHeight="1">
      <c r="A10" s="44" t="s">
        <v>58</v>
      </c>
      <c r="B10" s="47" t="s">
        <v>224</v>
      </c>
      <c r="C10" s="96" t="s">
        <v>225</v>
      </c>
      <c r="D10" s="47" t="s">
        <v>226</v>
      </c>
      <c r="E10" s="49">
        <v>1344453.78</v>
      </c>
      <c r="F10" s="50">
        <f t="shared" si="1"/>
        <v>1599899.998</v>
      </c>
      <c r="G10" s="51">
        <f t="shared" si="2"/>
        <v>754.9625072</v>
      </c>
      <c r="H10" s="53">
        <f t="shared" si="3"/>
        <v>2944353.778</v>
      </c>
      <c r="I10" s="54" t="s">
        <v>48</v>
      </c>
      <c r="J10" s="47" t="s">
        <v>228</v>
      </c>
    </row>
    <row r="11" ht="15.0" hidden="1" customHeight="1">
      <c r="A11" s="56"/>
      <c r="B11" s="58"/>
      <c r="C11" s="58"/>
      <c r="D11" s="58"/>
      <c r="E11" s="58"/>
      <c r="F11" s="58"/>
      <c r="G11" s="58"/>
      <c r="H11" s="58"/>
      <c r="I11" s="58"/>
      <c r="J11" s="58"/>
    </row>
    <row r="12" ht="12.75" customHeight="1"/>
    <row r="13" ht="138.75" customHeight="1">
      <c r="A13" s="62" t="s">
        <v>230</v>
      </c>
      <c r="B13" s="4"/>
      <c r="C13" s="4"/>
      <c r="D13" s="4"/>
      <c r="E13" s="4"/>
      <c r="F13" s="4"/>
      <c r="G13" s="4"/>
      <c r="H13" s="4"/>
      <c r="I13" s="4"/>
      <c r="J13" s="5"/>
    </row>
    <row r="14" ht="12.75" customHeight="1"/>
    <row r="15" ht="75.0" customHeight="1">
      <c r="A15" s="62" t="s">
        <v>231</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67"/>
      <c r="E26" s="67"/>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location="polycard_client=recommendations_vip-v2p&amp;reco_backend=ranker_retrieval_system_org&amp;reco_model=rk_ent_v3_retsys_org&amp;reco_client=vip-v2p&amp;reco_item_pos=0&amp;reco_backend_type=low_level&amp;reco_id=06a01dee-1ab6-47f8-a9f2-1bb6f8e0ad23&amp;wid=MCO1437950167&amp;sid=recos" ref="C9"/>
    <hyperlink r:id="rId3" ref="C10"/>
  </hyperlinks>
  <printOptions/>
  <pageMargins bottom="0.75" footer="0.0" header="0.0" left="0.7" right="0.7" top="0.75"/>
  <pageSetup orientation="landscape"/>
  <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8" t="s">
        <v>232</v>
      </c>
      <c r="C7" s="8" t="s">
        <v>233</v>
      </c>
      <c r="D7" s="8" t="s">
        <v>234</v>
      </c>
      <c r="E7" s="8" t="s">
        <v>235</v>
      </c>
      <c r="F7" s="11" t="s">
        <v>236</v>
      </c>
      <c r="G7" s="14" t="s">
        <v>237</v>
      </c>
      <c r="H7" s="8" t="s">
        <v>19</v>
      </c>
      <c r="I7" s="8" t="s">
        <v>238</v>
      </c>
      <c r="J7" s="8" t="s">
        <v>239</v>
      </c>
      <c r="K7" s="15"/>
      <c r="L7" s="15"/>
      <c r="M7" s="15"/>
      <c r="N7" s="15"/>
      <c r="O7" s="15"/>
      <c r="P7" s="15"/>
      <c r="Q7" s="15"/>
      <c r="R7" s="15"/>
      <c r="S7" s="15"/>
      <c r="T7" s="15"/>
      <c r="U7" s="15"/>
      <c r="V7" s="15"/>
      <c r="W7" s="15"/>
      <c r="X7" s="15"/>
      <c r="Y7" s="15"/>
      <c r="Z7" s="15"/>
    </row>
    <row r="8" ht="50.25" customHeight="1">
      <c r="A8" s="18" t="s">
        <v>27</v>
      </c>
      <c r="B8" s="35" t="s">
        <v>240</v>
      </c>
      <c r="C8" s="98" t="s">
        <v>241</v>
      </c>
      <c r="D8" s="38" t="s">
        <v>242</v>
      </c>
      <c r="E8" s="43">
        <v>2941092.44</v>
      </c>
      <c r="F8" s="91">
        <f t="shared" ref="F8:F10" si="1">E8*1.19</f>
        <v>3499900.004</v>
      </c>
      <c r="G8" s="32">
        <f t="shared" ref="G8:G10" si="2">(F8+E8)/3900</f>
        <v>1651.536524</v>
      </c>
      <c r="H8" s="128">
        <f t="shared" ref="H8:H10" si="3">G8*3900</f>
        <v>6440992.444</v>
      </c>
      <c r="I8" s="35" t="s">
        <v>61</v>
      </c>
      <c r="J8" s="38" t="s">
        <v>243</v>
      </c>
    </row>
    <row r="9" ht="50.25" customHeight="1">
      <c r="A9" s="44" t="s">
        <v>50</v>
      </c>
      <c r="B9" s="47" t="s">
        <v>224</v>
      </c>
      <c r="C9" s="129" t="s">
        <v>244</v>
      </c>
      <c r="D9" s="45" t="s">
        <v>245</v>
      </c>
      <c r="E9" s="49">
        <v>378067.0</v>
      </c>
      <c r="F9" s="50">
        <f t="shared" si="1"/>
        <v>449899.73</v>
      </c>
      <c r="G9" s="51">
        <f t="shared" si="2"/>
        <v>212.2991615</v>
      </c>
      <c r="H9" s="53">
        <f t="shared" si="3"/>
        <v>827966.73</v>
      </c>
      <c r="I9" s="54" t="s">
        <v>61</v>
      </c>
      <c r="J9" s="45" t="s">
        <v>246</v>
      </c>
    </row>
    <row r="10" ht="50.25" customHeight="1">
      <c r="A10" s="18" t="s">
        <v>58</v>
      </c>
      <c r="B10" s="19" t="s">
        <v>247</v>
      </c>
      <c r="C10" s="98" t="s">
        <v>248</v>
      </c>
      <c r="D10" s="19" t="s">
        <v>249</v>
      </c>
      <c r="E10" s="43">
        <v>276471.0</v>
      </c>
      <c r="F10" s="91">
        <f t="shared" si="1"/>
        <v>329000.49</v>
      </c>
      <c r="G10" s="32">
        <f t="shared" si="2"/>
        <v>155.2491</v>
      </c>
      <c r="H10" s="128">
        <f t="shared" si="3"/>
        <v>605471.49</v>
      </c>
      <c r="I10" s="35" t="s">
        <v>61</v>
      </c>
      <c r="J10" s="38" t="s">
        <v>250</v>
      </c>
    </row>
    <row r="11" ht="15.0" hidden="1" customHeight="1">
      <c r="A11" s="56"/>
      <c r="B11" s="58"/>
      <c r="C11" s="58"/>
      <c r="D11" s="58"/>
      <c r="E11" s="58"/>
      <c r="F11" s="58"/>
      <c r="G11" s="58"/>
      <c r="H11" s="58"/>
      <c r="I11" s="58"/>
      <c r="J11" s="58"/>
    </row>
    <row r="12" ht="12.75" customHeight="1"/>
    <row r="13" ht="138.75" customHeight="1">
      <c r="A13" s="62" t="s">
        <v>251</v>
      </c>
      <c r="B13" s="4"/>
      <c r="C13" s="4"/>
      <c r="D13" s="4"/>
      <c r="E13" s="4"/>
      <c r="F13" s="4"/>
      <c r="G13" s="4"/>
      <c r="H13" s="4"/>
      <c r="I13" s="4"/>
      <c r="J13" s="5"/>
    </row>
    <row r="14" ht="12.75" customHeight="1"/>
    <row r="15" ht="75.0" customHeight="1">
      <c r="A15" s="62" t="s">
        <v>252</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67"/>
      <c r="E26" s="67"/>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c r="A1" s="1" t="s">
        <v>253</v>
      </c>
    </row>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8" t="s">
        <v>254</v>
      </c>
      <c r="C7" s="8" t="s">
        <v>255</v>
      </c>
      <c r="D7" s="8" t="s">
        <v>256</v>
      </c>
      <c r="E7" s="8" t="s">
        <v>257</v>
      </c>
      <c r="F7" s="130" t="s">
        <v>258</v>
      </c>
      <c r="G7" s="14" t="s">
        <v>259</v>
      </c>
      <c r="H7" s="8" t="s">
        <v>19</v>
      </c>
      <c r="I7" s="8" t="s">
        <v>260</v>
      </c>
      <c r="J7" s="8" t="s">
        <v>261</v>
      </c>
      <c r="K7" s="15"/>
      <c r="L7" s="15"/>
      <c r="M7" s="15"/>
      <c r="N7" s="15"/>
      <c r="O7" s="15"/>
      <c r="P7" s="15"/>
      <c r="Q7" s="15"/>
      <c r="R7" s="15"/>
      <c r="S7" s="15"/>
      <c r="T7" s="15"/>
      <c r="U7" s="15"/>
      <c r="V7" s="15"/>
      <c r="W7" s="15"/>
      <c r="X7" s="15"/>
      <c r="Y7" s="15"/>
      <c r="Z7" s="15"/>
    </row>
    <row r="8" ht="50.25" customHeight="1">
      <c r="A8" s="18" t="s">
        <v>27</v>
      </c>
      <c r="B8" s="38" t="s">
        <v>262</v>
      </c>
      <c r="C8" s="23" t="s">
        <v>263</v>
      </c>
      <c r="D8" s="60" t="s">
        <v>264</v>
      </c>
      <c r="E8" s="100">
        <v>234454.0</v>
      </c>
      <c r="F8" s="30">
        <f t="shared" ref="F8:F10" si="1">E8*1.19</f>
        <v>279000.26</v>
      </c>
      <c r="G8" s="131">
        <f t="shared" ref="G8:G10" si="2">(E8+F8)/3900</f>
        <v>131.6549385</v>
      </c>
      <c r="H8" s="132">
        <f t="shared" ref="H8:H10" si="3">G8*3900</f>
        <v>513454.26</v>
      </c>
      <c r="I8" s="72" t="s">
        <v>61</v>
      </c>
      <c r="J8" s="60" t="s">
        <v>265</v>
      </c>
    </row>
    <row r="9" ht="50.25" customHeight="1">
      <c r="A9" s="44" t="s">
        <v>50</v>
      </c>
      <c r="B9" s="45" t="s">
        <v>266</v>
      </c>
      <c r="C9" s="55" t="s">
        <v>267</v>
      </c>
      <c r="D9" s="45" t="s">
        <v>272</v>
      </c>
      <c r="E9" s="57">
        <v>111008.0</v>
      </c>
      <c r="F9" s="59">
        <f t="shared" si="1"/>
        <v>132099.52</v>
      </c>
      <c r="G9" s="133">
        <f t="shared" si="2"/>
        <v>62.33526154</v>
      </c>
      <c r="H9" s="134">
        <f t="shared" si="3"/>
        <v>243107.52</v>
      </c>
      <c r="I9" s="73" t="s">
        <v>61</v>
      </c>
      <c r="J9" s="45" t="s">
        <v>277</v>
      </c>
    </row>
    <row r="10" ht="50.25" customHeight="1">
      <c r="A10" s="18" t="s">
        <v>58</v>
      </c>
      <c r="B10" s="38" t="s">
        <v>278</v>
      </c>
      <c r="C10" s="27" t="s">
        <v>279</v>
      </c>
      <c r="D10" s="38" t="s">
        <v>281</v>
      </c>
      <c r="E10" s="100">
        <v>108403.0</v>
      </c>
      <c r="F10" s="30">
        <f t="shared" si="1"/>
        <v>128999.57</v>
      </c>
      <c r="G10" s="131">
        <f t="shared" si="2"/>
        <v>60.87245385</v>
      </c>
      <c r="H10" s="132">
        <f t="shared" si="3"/>
        <v>237402.57</v>
      </c>
      <c r="I10" s="72" t="s">
        <v>61</v>
      </c>
      <c r="J10" s="60" t="s">
        <v>282</v>
      </c>
    </row>
    <row r="11" ht="15.0" hidden="1" customHeight="1">
      <c r="A11" s="56"/>
      <c r="B11" s="58"/>
      <c r="C11" s="58"/>
      <c r="D11" s="58"/>
      <c r="E11" s="58"/>
      <c r="F11" s="58"/>
      <c r="G11" s="58"/>
      <c r="H11" s="58"/>
      <c r="I11" s="58"/>
      <c r="J11" s="58"/>
    </row>
    <row r="12" ht="12.75" customHeight="1"/>
    <row r="13" ht="138.75" customHeight="1">
      <c r="A13" s="62" t="s">
        <v>284</v>
      </c>
      <c r="B13" s="4"/>
      <c r="C13" s="4"/>
      <c r="D13" s="4"/>
      <c r="E13" s="4"/>
      <c r="F13" s="4"/>
      <c r="G13" s="4"/>
      <c r="H13" s="4"/>
      <c r="I13" s="4"/>
      <c r="J13" s="5"/>
    </row>
    <row r="14" ht="12.75" customHeight="1"/>
    <row r="15" ht="75.0" customHeight="1">
      <c r="A15" s="62" t="s">
        <v>285</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67"/>
      <c r="E26" s="67"/>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location="searchVariation=MCO21709406&amp;position=4&amp;search_layout=stack&amp;type=product&amp;tracking_id=645ef13c-b162-4ab0-bc8e-6ab434cbaf42" ref="C8"/>
    <hyperlink r:id="rId2" location="polycard_client=search-nordic&amp;search_layout=stack&amp;position=6&amp;type=product&amp;tracking_id=5be81517-1d1c-435e-a59f-5a87583cee88&amp;wid=MCO1597090499&amp;sid=search" ref="C9"/>
    <hyperlink r:id="rId3" ref="C10"/>
  </hyperlinks>
  <printOptions/>
  <pageMargins bottom="0.75" footer="0.0" header="0.0" left="0.7" right="0.7" top="0.75"/>
  <pageSetup orientation="landscape"/>
  <drawing r:id="rId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5" width="17.0"/>
    <col customWidth="1" min="6" max="6" width="21.88"/>
    <col customWidth="1" min="7" max="7" width="17.88"/>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8" t="s">
        <v>268</v>
      </c>
      <c r="C7" s="8" t="s">
        <v>269</v>
      </c>
      <c r="D7" s="8" t="s">
        <v>270</v>
      </c>
      <c r="E7" s="8" t="s">
        <v>271</v>
      </c>
      <c r="F7" s="11" t="s">
        <v>273</v>
      </c>
      <c r="G7" s="14" t="s">
        <v>274</v>
      </c>
      <c r="H7" s="8" t="s">
        <v>19</v>
      </c>
      <c r="I7" s="8" t="s">
        <v>275</v>
      </c>
      <c r="J7" s="8" t="s">
        <v>276</v>
      </c>
      <c r="K7" s="15"/>
      <c r="L7" s="15"/>
      <c r="M7" s="15"/>
      <c r="N7" s="15"/>
      <c r="O7" s="15"/>
      <c r="P7" s="15"/>
      <c r="Q7" s="15"/>
      <c r="R7" s="15"/>
      <c r="S7" s="15"/>
      <c r="T7" s="15"/>
      <c r="U7" s="15"/>
      <c r="V7" s="15"/>
      <c r="W7" s="15"/>
      <c r="X7" s="15"/>
      <c r="Y7" s="15"/>
      <c r="Z7" s="15"/>
    </row>
    <row r="8" ht="50.25" customHeight="1">
      <c r="A8" s="44" t="s">
        <v>27</v>
      </c>
      <c r="B8" s="135" t="s">
        <v>161</v>
      </c>
      <c r="C8" s="55" t="s">
        <v>280</v>
      </c>
      <c r="D8" s="45" t="s">
        <v>283</v>
      </c>
      <c r="E8" s="136">
        <v>285714.0</v>
      </c>
      <c r="F8" s="59">
        <f t="shared" ref="F8:F10" si="1">E8*1.19</f>
        <v>339999.66</v>
      </c>
      <c r="G8" s="51">
        <f t="shared" ref="G8:G10" si="2">(F8+E8)/3900</f>
        <v>160.4394</v>
      </c>
      <c r="H8" s="61">
        <f t="shared" ref="H8:H10" si="3">G8*3900</f>
        <v>625713.66</v>
      </c>
      <c r="I8" s="73" t="s">
        <v>48</v>
      </c>
      <c r="J8" s="45" t="s">
        <v>286</v>
      </c>
    </row>
    <row r="9" ht="50.25" customHeight="1">
      <c r="A9" s="18" t="s">
        <v>50</v>
      </c>
      <c r="B9" s="38" t="s">
        <v>287</v>
      </c>
      <c r="C9" s="27" t="s">
        <v>288</v>
      </c>
      <c r="D9" s="60" t="s">
        <v>295</v>
      </c>
      <c r="E9" s="100">
        <v>1625146.0</v>
      </c>
      <c r="F9" s="30">
        <f t="shared" si="1"/>
        <v>1933923.74</v>
      </c>
      <c r="G9" s="137">
        <f t="shared" si="2"/>
        <v>912.5819846</v>
      </c>
      <c r="H9" s="71">
        <f t="shared" si="3"/>
        <v>3559069.74</v>
      </c>
      <c r="I9" s="72" t="s">
        <v>48</v>
      </c>
      <c r="J9" s="60" t="s">
        <v>299</v>
      </c>
    </row>
    <row r="10" ht="50.25" customHeight="1">
      <c r="A10" s="18" t="s">
        <v>58</v>
      </c>
      <c r="B10" s="72" t="s">
        <v>32</v>
      </c>
      <c r="C10" s="138" t="s">
        <v>300</v>
      </c>
      <c r="D10" s="110" t="s">
        <v>302</v>
      </c>
      <c r="E10" s="111">
        <v>2399999.0</v>
      </c>
      <c r="F10" s="30">
        <f t="shared" si="1"/>
        <v>2855998.81</v>
      </c>
      <c r="G10" s="137">
        <f t="shared" si="2"/>
        <v>1347.691746</v>
      </c>
      <c r="H10" s="71">
        <f t="shared" si="3"/>
        <v>5255997.81</v>
      </c>
      <c r="I10" s="72" t="s">
        <v>48</v>
      </c>
      <c r="J10" s="110" t="s">
        <v>304</v>
      </c>
    </row>
    <row r="11" ht="15.0" hidden="1" customHeight="1">
      <c r="A11" s="56"/>
      <c r="B11" s="58"/>
      <c r="C11" s="58"/>
      <c r="D11" s="58"/>
      <c r="E11" s="58"/>
      <c r="F11" s="58"/>
      <c r="G11" s="58"/>
      <c r="H11" s="58"/>
      <c r="I11" s="58"/>
      <c r="J11" s="58"/>
    </row>
    <row r="12" ht="12.75" customHeight="1"/>
    <row r="13" ht="138.75" customHeight="1">
      <c r="A13" s="62" t="s">
        <v>309</v>
      </c>
      <c r="B13" s="4"/>
      <c r="C13" s="4"/>
      <c r="D13" s="4"/>
      <c r="E13" s="4"/>
      <c r="F13" s="4"/>
      <c r="G13" s="4"/>
      <c r="H13" s="4"/>
      <c r="I13" s="4"/>
      <c r="J13" s="5"/>
    </row>
    <row r="14" ht="12.75" customHeight="1"/>
    <row r="15" ht="75.0" customHeight="1">
      <c r="A15" s="62" t="s">
        <v>313</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67"/>
      <c r="E26" s="67"/>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location="polycard_client=search-nordic&amp;search_layout=stack&amp;position=3&amp;type=product&amp;tracking_id=a9fcd3c0-9f1f-45b2-9d73-6f6337288954&amp;wid=MCO3052473342&amp;sid=search" ref="C8"/>
    <hyperlink r:id="rId2" ref="C9"/>
    <hyperlink r:id="rId3" location="reco_item_pos=0&amp;reco_backend=pads-retrieval-model-odin_marketplace&amp;reco_backend_type=&amp;reco_client=vip-pads-up&amp;reco_id=4ba4c990-688a-4e14-ba09-aa8d43e7531a&amp;is_advertising=true&amp;ad_domain=VIPDESKTOP_UP&amp;ad_position=1&amp;ad_click_id=ZGYxNDliOTItZTMyNC00Y2ViLThhN2ItYWFkYmMzNDY0NTli" ref="C10"/>
  </hyperlinks>
  <printOptions/>
  <pageMargins bottom="0.75" footer="0.0" header="0.0" left="0.7" right="0.7" top="0.75"/>
  <pageSetup orientation="landscape"/>
  <drawing r:id="rId4"/>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8" t="s">
        <v>289</v>
      </c>
      <c r="C7" s="8" t="s">
        <v>290</v>
      </c>
      <c r="D7" s="8" t="s">
        <v>291</v>
      </c>
      <c r="E7" s="8" t="s">
        <v>292</v>
      </c>
      <c r="F7" s="11" t="s">
        <v>293</v>
      </c>
      <c r="G7" s="14" t="s">
        <v>294</v>
      </c>
      <c r="H7" s="8" t="s">
        <v>19</v>
      </c>
      <c r="I7" s="8" t="s">
        <v>296</v>
      </c>
      <c r="J7" s="8" t="s">
        <v>297</v>
      </c>
      <c r="K7" s="15"/>
      <c r="L7" s="15"/>
      <c r="M7" s="15"/>
      <c r="N7" s="15"/>
      <c r="O7" s="15"/>
      <c r="P7" s="15"/>
      <c r="Q7" s="15"/>
      <c r="R7" s="15"/>
      <c r="S7" s="15"/>
      <c r="T7" s="15"/>
      <c r="U7" s="15"/>
      <c r="V7" s="15"/>
      <c r="W7" s="15"/>
      <c r="X7" s="15"/>
      <c r="Y7" s="15"/>
      <c r="Z7" s="15"/>
    </row>
    <row r="8" ht="50.25" customHeight="1">
      <c r="A8" s="18" t="s">
        <v>27</v>
      </c>
      <c r="B8" s="72" t="s">
        <v>32</v>
      </c>
      <c r="C8" s="27" t="s">
        <v>298</v>
      </c>
      <c r="D8" s="60" t="s">
        <v>301</v>
      </c>
      <c r="E8" s="100">
        <v>21008.0</v>
      </c>
      <c r="F8" s="30">
        <f t="shared" ref="F8:F10" si="1">E8*1.19</f>
        <v>24999.52</v>
      </c>
      <c r="G8" s="30">
        <f t="shared" ref="G8:G10" si="2">(F8+E8)/3900</f>
        <v>11.7968</v>
      </c>
      <c r="H8" s="139">
        <f t="shared" ref="H8:H10" si="3">G8*3900</f>
        <v>46007.52</v>
      </c>
      <c r="I8" s="72" t="s">
        <v>61</v>
      </c>
      <c r="J8" s="60" t="s">
        <v>315</v>
      </c>
    </row>
    <row r="9" ht="50.25" customHeight="1">
      <c r="A9" s="18" t="s">
        <v>50</v>
      </c>
      <c r="B9" s="72" t="s">
        <v>316</v>
      </c>
      <c r="C9" s="27" t="s">
        <v>317</v>
      </c>
      <c r="D9" s="60" t="s">
        <v>319</v>
      </c>
      <c r="E9" s="100">
        <v>131933.0</v>
      </c>
      <c r="F9" s="30">
        <f t="shared" si="1"/>
        <v>157000.27</v>
      </c>
      <c r="G9" s="30">
        <f t="shared" si="2"/>
        <v>74.08545385</v>
      </c>
      <c r="H9" s="139">
        <f t="shared" si="3"/>
        <v>288933.27</v>
      </c>
      <c r="I9" s="72" t="s">
        <v>61</v>
      </c>
      <c r="J9" s="60" t="s">
        <v>320</v>
      </c>
    </row>
    <row r="10" ht="50.25" customHeight="1">
      <c r="A10" s="44" t="s">
        <v>58</v>
      </c>
      <c r="B10" s="45" t="s">
        <v>322</v>
      </c>
      <c r="C10" s="55" t="s">
        <v>324</v>
      </c>
      <c r="D10" s="45" t="s">
        <v>326</v>
      </c>
      <c r="E10" s="140">
        <v>200000.0</v>
      </c>
      <c r="F10" s="59">
        <f t="shared" si="1"/>
        <v>238000</v>
      </c>
      <c r="G10" s="59">
        <f t="shared" si="2"/>
        <v>112.3076923</v>
      </c>
      <c r="H10" s="141">
        <f t="shared" si="3"/>
        <v>438000</v>
      </c>
      <c r="I10" s="45" t="s">
        <v>84</v>
      </c>
      <c r="J10" s="45" t="s">
        <v>330</v>
      </c>
    </row>
    <row r="11" ht="15.0" hidden="1" customHeight="1">
      <c r="A11" s="56"/>
      <c r="B11" s="58"/>
      <c r="C11" s="58"/>
      <c r="D11" s="58"/>
      <c r="E11" s="58"/>
      <c r="F11" s="58"/>
      <c r="G11" s="58"/>
      <c r="H11" s="58"/>
      <c r="I11" s="58"/>
      <c r="J11" s="58"/>
    </row>
    <row r="12" ht="12.75" customHeight="1"/>
    <row r="13" ht="138.75" customHeight="1">
      <c r="A13" s="62" t="s">
        <v>331</v>
      </c>
      <c r="B13" s="4"/>
      <c r="C13" s="4"/>
      <c r="D13" s="4"/>
      <c r="E13" s="4"/>
      <c r="F13" s="4"/>
      <c r="G13" s="4"/>
      <c r="H13" s="4"/>
      <c r="I13" s="4"/>
      <c r="J13" s="5"/>
    </row>
    <row r="14" ht="12.75" customHeight="1"/>
    <row r="15" ht="75.0" customHeight="1">
      <c r="A15" s="62" t="s">
        <v>334</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67"/>
      <c r="E26" s="67"/>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location="polycard_client=search-nordic&amp;search_layout=stack&amp;position=48&amp;type=product&amp;tracking_id=74a7eee1-1c58-47cd-b678-991c56dffb27&amp;wid=MCO1592667311&amp;sid=search" ref="C8"/>
    <hyperlink r:id="rId2" ref="C9"/>
    <hyperlink r:id="rId3" ref="C10"/>
  </hyperlinks>
  <printOptions/>
  <pageMargins bottom="0.75" footer="0.0" header="0.0" left="0.7" right="0.7" top="0.75"/>
  <pageSetup orientation="landscape"/>
  <drawing r:id="rId4"/>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8" t="s">
        <v>303</v>
      </c>
      <c r="C7" s="8" t="s">
        <v>305</v>
      </c>
      <c r="D7" s="8" t="s">
        <v>306</v>
      </c>
      <c r="E7" s="8" t="s">
        <v>307</v>
      </c>
      <c r="F7" s="11" t="s">
        <v>308</v>
      </c>
      <c r="G7" s="14" t="s">
        <v>310</v>
      </c>
      <c r="H7" s="8" t="s">
        <v>19</v>
      </c>
      <c r="I7" s="8" t="s">
        <v>311</v>
      </c>
      <c r="J7" s="8" t="s">
        <v>312</v>
      </c>
      <c r="K7" s="15"/>
      <c r="L7" s="15"/>
      <c r="M7" s="15"/>
      <c r="N7" s="15"/>
      <c r="O7" s="15"/>
      <c r="P7" s="15"/>
      <c r="Q7" s="15"/>
      <c r="R7" s="15"/>
      <c r="S7" s="15"/>
      <c r="T7" s="15"/>
      <c r="U7" s="15"/>
      <c r="V7" s="15"/>
      <c r="W7" s="15"/>
      <c r="X7" s="15"/>
      <c r="Y7" s="15"/>
      <c r="Z7" s="15"/>
    </row>
    <row r="8" ht="50.25" customHeight="1">
      <c r="A8" s="44" t="s">
        <v>27</v>
      </c>
      <c r="B8" s="73" t="s">
        <v>32</v>
      </c>
      <c r="C8" s="55" t="s">
        <v>314</v>
      </c>
      <c r="D8" s="45" t="s">
        <v>318</v>
      </c>
      <c r="E8" s="136">
        <v>373400.0</v>
      </c>
      <c r="F8" s="59">
        <f t="shared" ref="F8:F10" si="1">E8*1.19</f>
        <v>444346</v>
      </c>
      <c r="G8" s="51">
        <f t="shared" ref="G8:G10" si="2">(F8+E8)/3900</f>
        <v>209.6784615</v>
      </c>
      <c r="H8" s="61">
        <f t="shared" ref="H8:H10" si="3">G8*3900</f>
        <v>817746</v>
      </c>
      <c r="I8" s="73" t="s">
        <v>48</v>
      </c>
      <c r="J8" s="45" t="s">
        <v>321</v>
      </c>
    </row>
    <row r="9" ht="50.25" customHeight="1">
      <c r="A9" s="18" t="s">
        <v>50</v>
      </c>
      <c r="B9" s="72" t="s">
        <v>316</v>
      </c>
      <c r="C9" s="27" t="s">
        <v>323</v>
      </c>
      <c r="D9" s="60" t="s">
        <v>325</v>
      </c>
      <c r="E9" s="100">
        <v>229412.0</v>
      </c>
      <c r="F9" s="30">
        <f t="shared" si="1"/>
        <v>273000.28</v>
      </c>
      <c r="G9" s="32">
        <f t="shared" si="2"/>
        <v>128.8236615</v>
      </c>
      <c r="H9" s="71">
        <f t="shared" si="3"/>
        <v>502412.28</v>
      </c>
      <c r="I9" s="72" t="s">
        <v>48</v>
      </c>
      <c r="J9" s="60" t="s">
        <v>327</v>
      </c>
    </row>
    <row r="10" ht="50.25" customHeight="1">
      <c r="A10" s="18" t="s">
        <v>58</v>
      </c>
      <c r="B10" s="38" t="s">
        <v>328</v>
      </c>
      <c r="C10" s="27" t="s">
        <v>329</v>
      </c>
      <c r="D10" s="60" t="s">
        <v>332</v>
      </c>
      <c r="E10" s="28">
        <v>806723.0</v>
      </c>
      <c r="F10" s="30">
        <f t="shared" si="1"/>
        <v>960000.37</v>
      </c>
      <c r="G10" s="32">
        <f t="shared" si="2"/>
        <v>453.0059923</v>
      </c>
      <c r="H10" s="71">
        <f t="shared" si="3"/>
        <v>1766723.37</v>
      </c>
      <c r="I10" s="72" t="s">
        <v>48</v>
      </c>
      <c r="J10" s="60" t="s">
        <v>333</v>
      </c>
    </row>
    <row r="11" ht="15.0" hidden="1" customHeight="1">
      <c r="A11" s="56"/>
      <c r="B11" s="58"/>
      <c r="C11" s="58"/>
      <c r="D11" s="58"/>
      <c r="E11" s="58"/>
      <c r="F11" s="58"/>
      <c r="G11" s="58"/>
      <c r="H11" s="58"/>
      <c r="I11" s="58"/>
      <c r="J11" s="58"/>
    </row>
    <row r="12" ht="12.75" customHeight="1"/>
    <row r="13" ht="138.75" customHeight="1">
      <c r="A13" s="62" t="s">
        <v>335</v>
      </c>
      <c r="B13" s="4"/>
      <c r="C13" s="4"/>
      <c r="D13" s="4"/>
      <c r="E13" s="4"/>
      <c r="F13" s="4"/>
      <c r="G13" s="4"/>
      <c r="H13" s="4"/>
      <c r="I13" s="4"/>
      <c r="J13" s="5"/>
    </row>
    <row r="14" ht="12.75" customHeight="1"/>
    <row r="15" ht="75.0" customHeight="1">
      <c r="A15" s="62" t="s">
        <v>336</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67"/>
      <c r="E26" s="67"/>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location="is_advertising=true&amp;searchVariation=MCO2017619686&amp;backend_model=search-backend&amp;position=1&amp;search_layout=stack&amp;type=pad&amp;tracking_id=1759af95-6ae8-431f-b990-3a1f7535cec7&amp;ad_domain=VQCATCORE_LST&amp;ad_position=1&amp;ad_click_id=YTVjZDM4NmYtZTdkNS00NDgzLTllNGEtYmFmZmRlMWUzOTNm" ref="C8"/>
    <hyperlink r:id="rId2" ref="C9"/>
    <hyperlink r:id="rId3" ref="C10"/>
  </hyperlinks>
  <printOptions/>
  <pageMargins bottom="0.75" footer="0.0" header="0.0" left="0.7" right="0.7" top="0.75"/>
  <pageSetup orientation="landscape"/>
  <drawing r:id="rId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8" t="s">
        <v>337</v>
      </c>
      <c r="C7" s="8" t="s">
        <v>338</v>
      </c>
      <c r="D7" s="8" t="s">
        <v>339</v>
      </c>
      <c r="E7" s="8" t="s">
        <v>340</v>
      </c>
      <c r="F7" s="11" t="s">
        <v>341</v>
      </c>
      <c r="G7" s="14" t="s">
        <v>342</v>
      </c>
      <c r="H7" s="8" t="s">
        <v>19</v>
      </c>
      <c r="I7" s="8" t="s">
        <v>343</v>
      </c>
      <c r="J7" s="8" t="s">
        <v>344</v>
      </c>
      <c r="K7" s="15"/>
      <c r="L7" s="15"/>
      <c r="M7" s="15"/>
      <c r="N7" s="15"/>
      <c r="O7" s="15"/>
      <c r="P7" s="15"/>
      <c r="Q7" s="15"/>
      <c r="R7" s="15"/>
      <c r="S7" s="15"/>
      <c r="T7" s="15"/>
      <c r="U7" s="15"/>
      <c r="V7" s="15"/>
      <c r="W7" s="15"/>
      <c r="X7" s="15"/>
      <c r="Y7" s="15"/>
      <c r="Z7" s="15"/>
    </row>
    <row r="8" ht="50.25" customHeight="1">
      <c r="A8" s="18" t="s">
        <v>27</v>
      </c>
      <c r="B8" s="38" t="s">
        <v>161</v>
      </c>
      <c r="C8" s="23" t="s">
        <v>162</v>
      </c>
      <c r="D8" s="60" t="s">
        <v>164</v>
      </c>
      <c r="E8" s="28">
        <v>632773.11</v>
      </c>
      <c r="F8" s="30">
        <f t="shared" ref="F8:F10" si="1">E8*1.19</f>
        <v>753000.0009</v>
      </c>
      <c r="G8" s="32">
        <f t="shared" ref="G8:G10" si="2">(F8+E8)/3900</f>
        <v>355.3264387</v>
      </c>
      <c r="H8" s="101">
        <f t="shared" ref="H8:H10" si="3">G8*3900</f>
        <v>1385773.111</v>
      </c>
      <c r="I8" s="72" t="s">
        <v>48</v>
      </c>
      <c r="J8" s="60" t="s">
        <v>167</v>
      </c>
    </row>
    <row r="9" ht="50.25" customHeight="1">
      <c r="A9" s="18" t="s">
        <v>50</v>
      </c>
      <c r="B9" s="38" t="s">
        <v>169</v>
      </c>
      <c r="C9" s="27" t="s">
        <v>170</v>
      </c>
      <c r="D9" s="60" t="s">
        <v>345</v>
      </c>
      <c r="E9" s="28">
        <v>566386.56</v>
      </c>
      <c r="F9" s="30">
        <f t="shared" si="1"/>
        <v>674000.0064</v>
      </c>
      <c r="G9" s="32">
        <f t="shared" si="2"/>
        <v>318.0478375</v>
      </c>
      <c r="H9" s="101">
        <f t="shared" si="3"/>
        <v>1240386.566</v>
      </c>
      <c r="I9" s="72" t="s">
        <v>48</v>
      </c>
      <c r="J9" s="102" t="s">
        <v>172</v>
      </c>
    </row>
    <row r="10" ht="50.25" customHeight="1">
      <c r="A10" s="44" t="s">
        <v>58</v>
      </c>
      <c r="B10" s="45" t="s">
        <v>346</v>
      </c>
      <c r="C10" s="55" t="s">
        <v>173</v>
      </c>
      <c r="D10" s="45" t="s">
        <v>347</v>
      </c>
      <c r="E10" s="57">
        <v>511764.71</v>
      </c>
      <c r="F10" s="59">
        <f t="shared" si="1"/>
        <v>609000.0049</v>
      </c>
      <c r="G10" s="51">
        <f t="shared" si="2"/>
        <v>287.3755679</v>
      </c>
      <c r="H10" s="103">
        <f t="shared" si="3"/>
        <v>1120764.715</v>
      </c>
      <c r="I10" s="73" t="s">
        <v>48</v>
      </c>
      <c r="J10" s="104" t="s">
        <v>348</v>
      </c>
    </row>
    <row r="11" ht="15.0" hidden="1" customHeight="1">
      <c r="A11" s="56"/>
      <c r="B11" s="58"/>
      <c r="C11" s="58"/>
      <c r="D11" s="58"/>
      <c r="E11" s="58"/>
      <c r="F11" s="58"/>
      <c r="G11" s="58"/>
      <c r="H11" s="58"/>
      <c r="I11" s="58"/>
      <c r="J11" s="58"/>
    </row>
    <row r="12" ht="12.75" customHeight="1"/>
    <row r="13" ht="138.75" customHeight="1">
      <c r="A13" s="105" t="s">
        <v>350</v>
      </c>
      <c r="B13" s="4"/>
      <c r="C13" s="4"/>
      <c r="D13" s="4"/>
      <c r="E13" s="4"/>
      <c r="F13" s="4"/>
      <c r="G13" s="4"/>
      <c r="H13" s="4"/>
      <c r="I13" s="4"/>
      <c r="J13" s="5"/>
    </row>
    <row r="14" ht="12.75" customHeight="1"/>
    <row r="15" ht="75.0" customHeight="1">
      <c r="A15" s="62" t="s">
        <v>355</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67"/>
      <c r="E26" s="67"/>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location="polycard_client=search_best-seller-categories&amp;tracking_id=513e9df8-cff3-4deb-bc0a-6465786e5ce8&amp;wid=MCO2381106026&amp;sid=search" ref="C8"/>
    <hyperlink r:id="rId2" ref="C9"/>
    <hyperlink r:id="rId3" ref="C10"/>
  </hyperlinks>
  <printOptions/>
  <pageMargins bottom="0.75" footer="0.0" header="0.0" left="0.7" right="0.7" top="0.75"/>
  <pageSetup orientation="landscape"/>
  <drawing r:id="rId4"/>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8" t="s">
        <v>349</v>
      </c>
      <c r="C7" s="8" t="s">
        <v>351</v>
      </c>
      <c r="D7" s="8" t="s">
        <v>352</v>
      </c>
      <c r="E7" s="8" t="s">
        <v>353</v>
      </c>
      <c r="F7" s="11" t="s">
        <v>354</v>
      </c>
      <c r="G7" s="14" t="s">
        <v>356</v>
      </c>
      <c r="H7" s="8" t="s">
        <v>19</v>
      </c>
      <c r="I7" s="8" t="s">
        <v>357</v>
      </c>
      <c r="J7" s="8" t="s">
        <v>358</v>
      </c>
      <c r="K7" s="15"/>
      <c r="L7" s="15"/>
      <c r="M7" s="15"/>
      <c r="N7" s="15"/>
      <c r="O7" s="15"/>
      <c r="P7" s="15"/>
      <c r="Q7" s="15"/>
      <c r="R7" s="15"/>
      <c r="S7" s="15"/>
      <c r="T7" s="15"/>
      <c r="U7" s="15"/>
      <c r="V7" s="15"/>
      <c r="W7" s="15"/>
      <c r="X7" s="15"/>
      <c r="Y7" s="15"/>
      <c r="Z7" s="15"/>
    </row>
    <row r="8" ht="50.25" customHeight="1">
      <c r="A8" s="18" t="s">
        <v>27</v>
      </c>
      <c r="B8" s="38" t="s">
        <v>161</v>
      </c>
      <c r="C8" s="23" t="s">
        <v>359</v>
      </c>
      <c r="D8" s="60" t="s">
        <v>360</v>
      </c>
      <c r="E8" s="100">
        <v>58739.5</v>
      </c>
      <c r="F8" s="30">
        <f t="shared" ref="F8:F10" si="1">E8*1.19</f>
        <v>69900.005</v>
      </c>
      <c r="G8" s="32">
        <f t="shared" ref="G8:G10" si="2">(F8+E8)/3900</f>
        <v>32.98448846</v>
      </c>
      <c r="H8" s="101">
        <f t="shared" ref="H8:H10" si="3">G8*3900</f>
        <v>128639.505</v>
      </c>
      <c r="I8" s="72" t="s">
        <v>61</v>
      </c>
      <c r="J8" s="60" t="s">
        <v>361</v>
      </c>
    </row>
    <row r="9" ht="50.25" customHeight="1">
      <c r="A9" s="18" t="s">
        <v>50</v>
      </c>
      <c r="B9" s="38" t="s">
        <v>363</v>
      </c>
      <c r="C9" s="27" t="s">
        <v>364</v>
      </c>
      <c r="D9" s="60" t="s">
        <v>371</v>
      </c>
      <c r="E9" s="100">
        <v>125966.39</v>
      </c>
      <c r="F9" s="30">
        <f t="shared" si="1"/>
        <v>149900.0041</v>
      </c>
      <c r="G9" s="32">
        <f t="shared" si="2"/>
        <v>70.73497285</v>
      </c>
      <c r="H9" s="101">
        <f t="shared" si="3"/>
        <v>275866.3941</v>
      </c>
      <c r="I9" s="72" t="s">
        <v>61</v>
      </c>
      <c r="J9" s="60" t="s">
        <v>374</v>
      </c>
    </row>
    <row r="10" ht="50.25" customHeight="1">
      <c r="A10" s="44" t="s">
        <v>58</v>
      </c>
      <c r="B10" s="45" t="s">
        <v>375</v>
      </c>
      <c r="C10" s="55" t="s">
        <v>376</v>
      </c>
      <c r="D10" s="45" t="s">
        <v>378</v>
      </c>
      <c r="E10" s="57">
        <v>31848.74</v>
      </c>
      <c r="F10" s="59">
        <f t="shared" si="1"/>
        <v>37900.0006</v>
      </c>
      <c r="G10" s="51">
        <f t="shared" si="2"/>
        <v>17.88429246</v>
      </c>
      <c r="H10" s="103">
        <f t="shared" si="3"/>
        <v>69748.7406</v>
      </c>
      <c r="I10" s="73" t="s">
        <v>61</v>
      </c>
      <c r="J10" s="45" t="s">
        <v>379</v>
      </c>
    </row>
    <row r="11" ht="15.0" hidden="1" customHeight="1">
      <c r="A11" s="56"/>
      <c r="B11" s="58"/>
      <c r="C11" s="58"/>
      <c r="D11" s="58"/>
      <c r="E11" s="58"/>
      <c r="F11" s="58"/>
      <c r="G11" s="58"/>
      <c r="H11" s="58"/>
      <c r="I11" s="58"/>
      <c r="J11" s="58"/>
    </row>
    <row r="12" ht="12.75" customHeight="1"/>
    <row r="13" ht="138.75" customHeight="1">
      <c r="A13" s="62" t="s">
        <v>380</v>
      </c>
      <c r="B13" s="4"/>
      <c r="C13" s="4"/>
      <c r="D13" s="4"/>
      <c r="E13" s="4"/>
      <c r="F13" s="4"/>
      <c r="G13" s="4"/>
      <c r="H13" s="4"/>
      <c r="I13" s="4"/>
      <c r="J13" s="5"/>
    </row>
    <row r="14" ht="12.75" customHeight="1"/>
    <row r="15" ht="75.0" customHeight="1">
      <c r="A15" s="62" t="s">
        <v>382</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67"/>
      <c r="E26" s="67"/>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location="is_advertising=true&amp;searchVariation=182898995984&amp;backend_model=search-backend&amp;position=11&amp;search_layout=stack&amp;type=pad&amp;tracking_id=45ca264e-430f-4f4c-b7a0-a9545dccc755&amp;ad_domain=VQCATCORE_LST&amp;ad_position=11&amp;ad_click_id=MTJiZDdlZmMtODdlNS00NTgzLThkZmMtNmFhYTM1YThmM2Q2" ref="C8"/>
    <hyperlink r:id="rId2" ref="C9"/>
    <hyperlink r:id="rId3" ref="C10"/>
  </hyperlinks>
  <printOptions/>
  <pageMargins bottom="0.75" footer="0.0" header="0.0" left="0.7" right="0.7" top="0.75"/>
  <pageSetup orientation="landscape"/>
  <drawing r:id="rId4"/>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c r="A1" s="1" t="s">
        <v>362</v>
      </c>
    </row>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8" t="s">
        <v>365</v>
      </c>
      <c r="C7" s="8" t="s">
        <v>366</v>
      </c>
      <c r="D7" s="8" t="s">
        <v>367</v>
      </c>
      <c r="E7" s="8" t="s">
        <v>368</v>
      </c>
      <c r="F7" s="11" t="s">
        <v>369</v>
      </c>
      <c r="G7" s="14" t="s">
        <v>370</v>
      </c>
      <c r="H7" s="8" t="s">
        <v>19</v>
      </c>
      <c r="I7" s="8" t="s">
        <v>372</v>
      </c>
      <c r="J7" s="8" t="s">
        <v>373</v>
      </c>
      <c r="K7" s="15"/>
      <c r="L7" s="15"/>
      <c r="M7" s="15"/>
      <c r="N7" s="15"/>
      <c r="O7" s="15"/>
      <c r="P7" s="15"/>
      <c r="Q7" s="15"/>
      <c r="R7" s="15"/>
      <c r="S7" s="15"/>
      <c r="T7" s="15"/>
      <c r="U7" s="15"/>
      <c r="V7" s="15"/>
      <c r="W7" s="15"/>
      <c r="X7" s="15"/>
      <c r="Y7" s="15"/>
      <c r="Z7" s="15"/>
    </row>
    <row r="8" ht="50.25" customHeight="1">
      <c r="A8" s="44" t="s">
        <v>27</v>
      </c>
      <c r="B8" s="45" t="s">
        <v>375</v>
      </c>
      <c r="C8" s="96" t="s">
        <v>377</v>
      </c>
      <c r="D8" s="45" t="s">
        <v>381</v>
      </c>
      <c r="E8" s="57">
        <v>29338.0</v>
      </c>
      <c r="F8" s="59">
        <f t="shared" ref="F8:F10" si="1">E8*1.19</f>
        <v>34912.22</v>
      </c>
      <c r="G8" s="59">
        <f t="shared" ref="G8:G10" si="2">(F8+E8)/3900</f>
        <v>16.47441538</v>
      </c>
      <c r="H8" s="142">
        <f t="shared" ref="H8:H10" si="3">G8*3900</f>
        <v>64250.22</v>
      </c>
      <c r="I8" s="73" t="s">
        <v>61</v>
      </c>
      <c r="J8" s="45" t="s">
        <v>388</v>
      </c>
    </row>
    <row r="9" ht="52.5" customHeight="1">
      <c r="A9" s="18" t="s">
        <v>50</v>
      </c>
      <c r="B9" s="38" t="s">
        <v>159</v>
      </c>
      <c r="C9" s="27" t="s">
        <v>389</v>
      </c>
      <c r="D9" s="60" t="s">
        <v>393</v>
      </c>
      <c r="E9" s="100">
        <v>44453.78</v>
      </c>
      <c r="F9" s="30">
        <f t="shared" si="1"/>
        <v>52899.9982</v>
      </c>
      <c r="G9" s="30">
        <f t="shared" si="2"/>
        <v>24.96250723</v>
      </c>
      <c r="H9" s="143">
        <f t="shared" si="3"/>
        <v>97353.7782</v>
      </c>
      <c r="I9" s="72" t="s">
        <v>61</v>
      </c>
      <c r="J9" s="60" t="s">
        <v>396</v>
      </c>
    </row>
    <row r="10" ht="50.25" customHeight="1">
      <c r="A10" s="18" t="s">
        <v>58</v>
      </c>
      <c r="B10" s="38" t="s">
        <v>278</v>
      </c>
      <c r="C10" s="27" t="s">
        <v>397</v>
      </c>
      <c r="D10" s="60" t="s">
        <v>398</v>
      </c>
      <c r="E10" s="100">
        <v>67142.86</v>
      </c>
      <c r="F10" s="30">
        <f t="shared" si="1"/>
        <v>79900.0034</v>
      </c>
      <c r="G10" s="30">
        <f t="shared" si="2"/>
        <v>37.70329831</v>
      </c>
      <c r="H10" s="143">
        <f t="shared" si="3"/>
        <v>147042.8634</v>
      </c>
      <c r="I10" s="72" t="s">
        <v>61</v>
      </c>
      <c r="J10" s="38" t="s">
        <v>400</v>
      </c>
    </row>
    <row r="11" ht="15.0" hidden="1" customHeight="1">
      <c r="A11" s="56"/>
      <c r="B11" s="58"/>
      <c r="C11" s="58"/>
      <c r="D11" s="58"/>
      <c r="E11" s="58"/>
      <c r="F11" s="58"/>
      <c r="G11" s="58"/>
      <c r="H11" s="58"/>
      <c r="I11" s="58"/>
      <c r="J11" s="58"/>
    </row>
    <row r="12" ht="12.75" customHeight="1"/>
    <row r="13" ht="138.75" customHeight="1">
      <c r="A13" s="62" t="s">
        <v>401</v>
      </c>
      <c r="B13" s="4"/>
      <c r="C13" s="4"/>
      <c r="D13" s="4"/>
      <c r="E13" s="4"/>
      <c r="F13" s="4"/>
      <c r="G13" s="4"/>
      <c r="H13" s="4"/>
      <c r="I13" s="4"/>
      <c r="J13" s="5"/>
    </row>
    <row r="14" ht="12.75" customHeight="1"/>
    <row r="15" ht="75.0" customHeight="1">
      <c r="A15" s="62" t="s">
        <v>402</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67"/>
      <c r="E26" s="67"/>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location="is_advertising=true&amp;searchVariation=MCO47847176&amp;backend_model=search-backend&amp;position=6&amp;search_layout=stack&amp;type=pad&amp;tracking_id=36fea3ab-b3d6-4085-a96d-d95ecf119577&amp;ad_domain=VQCATCORE_LST&amp;ad_position=6&amp;ad_click_id=ZTBiMjg1OTYtY2QyNC00ZDY4LWJjMzgtM2M3NjQ1MmM5OWYy" ref="C9"/>
    <hyperlink r:id="rId3" ref="C10"/>
  </hyperlinks>
  <printOptions/>
  <pageMargins bottom="0.75" footer="0.0" header="0.0" left="0.7" right="0.7" top="0.75"/>
  <pageSetup orientation="landscape"/>
  <drawing r:id="rId4"/>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c r="A1" s="1"/>
    </row>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8" t="s">
        <v>383</v>
      </c>
      <c r="C7" s="8" t="s">
        <v>384</v>
      </c>
      <c r="D7" s="8" t="s">
        <v>385</v>
      </c>
      <c r="E7" s="8" t="s">
        <v>386</v>
      </c>
      <c r="F7" s="11" t="s">
        <v>387</v>
      </c>
      <c r="G7" s="14" t="s">
        <v>390</v>
      </c>
      <c r="H7" s="8" t="s">
        <v>19</v>
      </c>
      <c r="I7" s="8" t="s">
        <v>391</v>
      </c>
      <c r="J7" s="8" t="s">
        <v>392</v>
      </c>
      <c r="K7" s="15"/>
      <c r="L7" s="15"/>
      <c r="M7" s="15"/>
      <c r="N7" s="15"/>
      <c r="O7" s="15"/>
      <c r="P7" s="15"/>
      <c r="Q7" s="15"/>
      <c r="R7" s="15"/>
      <c r="S7" s="15"/>
      <c r="T7" s="15"/>
      <c r="U7" s="15"/>
      <c r="V7" s="15"/>
      <c r="W7" s="15"/>
      <c r="X7" s="15"/>
      <c r="Y7" s="15"/>
      <c r="Z7" s="15"/>
    </row>
    <row r="8" ht="50.25" customHeight="1">
      <c r="A8" s="18" t="s">
        <v>27</v>
      </c>
      <c r="B8" s="72" t="s">
        <v>394</v>
      </c>
      <c r="C8" s="27" t="s">
        <v>395</v>
      </c>
      <c r="D8" s="60" t="s">
        <v>399</v>
      </c>
      <c r="E8" s="111">
        <v>460000.0</v>
      </c>
      <c r="F8" s="30">
        <f t="shared" ref="F8:F10" si="1">E8*1.19</f>
        <v>547400</v>
      </c>
      <c r="G8" s="32">
        <f t="shared" ref="G8:G10" si="2">(F8+E8)/3900</f>
        <v>258.3076923</v>
      </c>
      <c r="H8" s="144">
        <f t="shared" ref="H8:H10" si="3">G8*3900</f>
        <v>1007400</v>
      </c>
      <c r="I8" s="72" t="s">
        <v>61</v>
      </c>
      <c r="J8" s="60" t="s">
        <v>403</v>
      </c>
    </row>
    <row r="9" ht="50.25" customHeight="1">
      <c r="A9" s="18" t="s">
        <v>50</v>
      </c>
      <c r="B9" s="45" t="s">
        <v>59</v>
      </c>
      <c r="C9" s="55" t="s">
        <v>60</v>
      </c>
      <c r="D9" s="45" t="s">
        <v>404</v>
      </c>
      <c r="E9" s="57">
        <v>0.0</v>
      </c>
      <c r="F9" s="59">
        <f t="shared" si="1"/>
        <v>0</v>
      </c>
      <c r="G9" s="51">
        <f t="shared" si="2"/>
        <v>0</v>
      </c>
      <c r="H9" s="103">
        <f t="shared" si="3"/>
        <v>0</v>
      </c>
      <c r="I9" s="45" t="s">
        <v>84</v>
      </c>
      <c r="J9" s="45" t="s">
        <v>405</v>
      </c>
    </row>
    <row r="10" ht="50.25" customHeight="1">
      <c r="A10" s="18" t="s">
        <v>58</v>
      </c>
      <c r="B10" s="38" t="s">
        <v>406</v>
      </c>
      <c r="C10" s="27" t="s">
        <v>407</v>
      </c>
      <c r="D10" s="60" t="s">
        <v>408</v>
      </c>
      <c r="E10" s="145">
        <v>84900.0</v>
      </c>
      <c r="F10" s="30">
        <f t="shared" si="1"/>
        <v>101031</v>
      </c>
      <c r="G10" s="32">
        <f t="shared" si="2"/>
        <v>47.67461538</v>
      </c>
      <c r="H10" s="144">
        <f t="shared" si="3"/>
        <v>185931</v>
      </c>
      <c r="I10" s="72" t="s">
        <v>61</v>
      </c>
      <c r="J10" s="38" t="s">
        <v>410</v>
      </c>
    </row>
    <row r="11" ht="15.0" hidden="1" customHeight="1">
      <c r="A11" s="56"/>
      <c r="B11" s="58"/>
      <c r="C11" s="58"/>
      <c r="D11" s="58"/>
      <c r="E11" s="58"/>
      <c r="F11" s="58"/>
      <c r="G11" s="146">
        <f>F11+E11</f>
        <v>0</v>
      </c>
      <c r="H11" s="58"/>
      <c r="I11" s="58"/>
      <c r="J11" s="58"/>
    </row>
    <row r="12" ht="12.75" customHeight="1">
      <c r="G12" s="147"/>
    </row>
    <row r="13" ht="138.75" customHeight="1">
      <c r="A13" s="62" t="s">
        <v>420</v>
      </c>
      <c r="B13" s="4"/>
      <c r="C13" s="4"/>
      <c r="D13" s="4"/>
      <c r="E13" s="4"/>
      <c r="F13" s="4"/>
      <c r="G13" s="4"/>
      <c r="H13" s="4"/>
      <c r="I13" s="4"/>
      <c r="J13" s="5"/>
    </row>
    <row r="14" ht="12.75" customHeight="1"/>
    <row r="15" ht="75.0" customHeight="1">
      <c r="A15" s="62" t="s">
        <v>421</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67"/>
      <c r="E26" s="67"/>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c r="A1" s="1"/>
    </row>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8" t="s">
        <v>409</v>
      </c>
      <c r="C7" s="8" t="s">
        <v>411</v>
      </c>
      <c r="D7" s="8" t="s">
        <v>412</v>
      </c>
      <c r="E7" s="8" t="s">
        <v>413</v>
      </c>
      <c r="F7" s="11" t="s">
        <v>414</v>
      </c>
      <c r="G7" s="14" t="s">
        <v>415</v>
      </c>
      <c r="H7" s="8" t="s">
        <v>19</v>
      </c>
      <c r="I7" s="8" t="s">
        <v>416</v>
      </c>
      <c r="J7" s="8" t="s">
        <v>417</v>
      </c>
      <c r="K7" s="15"/>
      <c r="L7" s="15"/>
      <c r="M7" s="15"/>
      <c r="N7" s="15"/>
      <c r="O7" s="15"/>
      <c r="P7" s="15"/>
      <c r="Q7" s="15"/>
      <c r="R7" s="15"/>
      <c r="S7" s="15"/>
      <c r="T7" s="15"/>
      <c r="U7" s="15"/>
      <c r="V7" s="15"/>
      <c r="W7" s="15"/>
      <c r="X7" s="15"/>
      <c r="Y7" s="15"/>
      <c r="Z7" s="15"/>
    </row>
    <row r="8" ht="109.5" customHeight="1">
      <c r="A8" s="18" t="s">
        <v>27</v>
      </c>
      <c r="B8" s="19" t="s">
        <v>418</v>
      </c>
      <c r="C8" s="23" t="s">
        <v>419</v>
      </c>
      <c r="D8" s="148" t="s">
        <v>422</v>
      </c>
      <c r="E8" s="149">
        <v>4617025.0</v>
      </c>
      <c r="F8" s="150">
        <f t="shared" ref="F8:F10" si="1">E8*1.19</f>
        <v>5494259.75</v>
      </c>
      <c r="G8" s="94">
        <f t="shared" ref="G8:G10" si="2">(F8+E8)/3900</f>
        <v>2592.637115</v>
      </c>
      <c r="H8" s="151">
        <f t="shared" ref="H8:H10" si="3">G8*3900</f>
        <v>10111284.75</v>
      </c>
      <c r="I8" s="35" t="s">
        <v>48</v>
      </c>
      <c r="J8" s="152" t="s">
        <v>423</v>
      </c>
    </row>
    <row r="9" ht="75.75" customHeight="1">
      <c r="A9" s="44" t="s">
        <v>50</v>
      </c>
      <c r="B9" s="47" t="s">
        <v>424</v>
      </c>
      <c r="C9" s="96" t="s">
        <v>425</v>
      </c>
      <c r="D9" s="47" t="s">
        <v>426</v>
      </c>
      <c r="E9" s="153">
        <v>0.0</v>
      </c>
      <c r="F9" s="154">
        <f t="shared" si="1"/>
        <v>0</v>
      </c>
      <c r="G9" s="97">
        <f t="shared" si="2"/>
        <v>0</v>
      </c>
      <c r="H9" s="155">
        <f t="shared" si="3"/>
        <v>0</v>
      </c>
      <c r="I9" s="47" t="s">
        <v>84</v>
      </c>
      <c r="J9" s="47" t="s">
        <v>427</v>
      </c>
    </row>
    <row r="10" ht="108.75" customHeight="1">
      <c r="A10" s="18" t="s">
        <v>58</v>
      </c>
      <c r="B10" s="19" t="s">
        <v>428</v>
      </c>
      <c r="C10" s="27" t="s">
        <v>429</v>
      </c>
      <c r="D10" s="156" t="s">
        <v>430</v>
      </c>
      <c r="E10" s="149">
        <v>471360.0</v>
      </c>
      <c r="F10" s="150">
        <f t="shared" si="1"/>
        <v>560918.4</v>
      </c>
      <c r="G10" s="94">
        <f t="shared" si="2"/>
        <v>264.6867692</v>
      </c>
      <c r="H10" s="151">
        <f t="shared" si="3"/>
        <v>1032278.4</v>
      </c>
      <c r="I10" s="35" t="s">
        <v>48</v>
      </c>
      <c r="J10" s="19" t="s">
        <v>431</v>
      </c>
    </row>
    <row r="11" ht="15.0" hidden="1" customHeight="1">
      <c r="A11" s="56"/>
      <c r="B11" s="58"/>
      <c r="C11" s="58"/>
      <c r="D11" s="58"/>
      <c r="E11" s="58"/>
      <c r="F11" s="58"/>
      <c r="G11" s="58"/>
      <c r="H11" s="58"/>
      <c r="I11" s="58"/>
      <c r="J11" s="58"/>
    </row>
    <row r="12" ht="12.75" customHeight="1"/>
    <row r="13" ht="138.75" customHeight="1">
      <c r="A13" s="62" t="s">
        <v>432</v>
      </c>
      <c r="B13" s="4"/>
      <c r="C13" s="4"/>
      <c r="D13" s="4"/>
      <c r="E13" s="4"/>
      <c r="F13" s="4"/>
      <c r="G13" s="4"/>
      <c r="H13" s="4"/>
      <c r="I13" s="4"/>
      <c r="J13" s="5"/>
    </row>
    <row r="14" ht="12.75" customHeight="1"/>
    <row r="15" ht="75.0" customHeight="1">
      <c r="A15" s="62" t="s">
        <v>433</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67"/>
      <c r="E26" s="67"/>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c r="A1" s="1"/>
    </row>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8" t="s">
        <v>434</v>
      </c>
      <c r="C7" s="8" t="s">
        <v>435</v>
      </c>
      <c r="D7" s="8" t="s">
        <v>436</v>
      </c>
      <c r="E7" s="8" t="s">
        <v>437</v>
      </c>
      <c r="F7" s="11" t="s">
        <v>438</v>
      </c>
      <c r="G7" s="14" t="s">
        <v>439</v>
      </c>
      <c r="H7" s="8" t="s">
        <v>19</v>
      </c>
      <c r="I7" s="8" t="s">
        <v>440</v>
      </c>
      <c r="J7" s="8" t="s">
        <v>441</v>
      </c>
      <c r="K7" s="15"/>
      <c r="L7" s="15"/>
      <c r="M7" s="15"/>
      <c r="N7" s="15"/>
      <c r="O7" s="15"/>
      <c r="P7" s="15"/>
      <c r="Q7" s="15"/>
      <c r="R7" s="15"/>
      <c r="S7" s="15"/>
      <c r="T7" s="15"/>
      <c r="U7" s="15"/>
      <c r="V7" s="15"/>
      <c r="W7" s="15"/>
      <c r="X7" s="15"/>
      <c r="Y7" s="15"/>
      <c r="Z7" s="15"/>
    </row>
    <row r="8" ht="50.25" customHeight="1">
      <c r="A8" s="18" t="s">
        <v>27</v>
      </c>
      <c r="B8" s="38" t="s">
        <v>442</v>
      </c>
      <c r="C8" s="138" t="s">
        <v>443</v>
      </c>
      <c r="D8" s="157" t="s">
        <v>444</v>
      </c>
      <c r="E8" s="158">
        <v>787426.0</v>
      </c>
      <c r="F8" s="158">
        <f t="shared" ref="F8:F10" si="1">E8*1.19</f>
        <v>937036.94</v>
      </c>
      <c r="G8" s="159">
        <f t="shared" ref="G8:G10" si="2">(F8+E8)/3900</f>
        <v>442.1699846</v>
      </c>
      <c r="H8" s="144">
        <f t="shared" ref="H8:H10" si="3">G8*3900</f>
        <v>1724462.94</v>
      </c>
      <c r="I8" s="72" t="s">
        <v>61</v>
      </c>
      <c r="J8" s="72"/>
    </row>
    <row r="9" ht="50.25" customHeight="1">
      <c r="A9" s="44" t="s">
        <v>50</v>
      </c>
      <c r="B9" s="45" t="s">
        <v>59</v>
      </c>
      <c r="C9" s="55" t="s">
        <v>60</v>
      </c>
      <c r="D9" s="161" t="s">
        <v>460</v>
      </c>
      <c r="E9" s="162">
        <v>0.0</v>
      </c>
      <c r="F9" s="163">
        <f t="shared" si="1"/>
        <v>0</v>
      </c>
      <c r="G9" s="164">
        <f t="shared" si="2"/>
        <v>0</v>
      </c>
      <c r="H9" s="103">
        <f t="shared" si="3"/>
        <v>0</v>
      </c>
      <c r="I9" s="45" t="s">
        <v>84</v>
      </c>
      <c r="J9" s="45" t="s">
        <v>464</v>
      </c>
    </row>
    <row r="10" ht="50.25" customHeight="1">
      <c r="A10" s="18" t="s">
        <v>58</v>
      </c>
      <c r="B10" s="72" t="s">
        <v>457</v>
      </c>
      <c r="C10" s="138" t="s">
        <v>443</v>
      </c>
      <c r="D10" s="157" t="s">
        <v>465</v>
      </c>
      <c r="E10" s="158">
        <v>537534.0</v>
      </c>
      <c r="F10" s="158">
        <f t="shared" si="1"/>
        <v>639665.46</v>
      </c>
      <c r="G10" s="159">
        <f t="shared" si="2"/>
        <v>301.8460154</v>
      </c>
      <c r="H10" s="144">
        <f t="shared" si="3"/>
        <v>1177199.46</v>
      </c>
      <c r="I10" s="72" t="s">
        <v>61</v>
      </c>
      <c r="J10" s="72" t="s">
        <v>466</v>
      </c>
    </row>
    <row r="11" ht="15.0" hidden="1" customHeight="1">
      <c r="A11" s="56"/>
      <c r="B11" s="58"/>
      <c r="C11" s="58"/>
      <c r="D11" s="58"/>
      <c r="E11" s="58"/>
      <c r="F11" s="58"/>
      <c r="G11" s="58"/>
      <c r="H11" s="58"/>
      <c r="I11" s="58"/>
      <c r="J11" s="58"/>
    </row>
    <row r="12" ht="12.75" customHeight="1"/>
    <row r="13" ht="138.75" customHeight="1">
      <c r="A13" s="62" t="s">
        <v>468</v>
      </c>
      <c r="B13" s="4"/>
      <c r="C13" s="4"/>
      <c r="D13" s="4"/>
      <c r="E13" s="4"/>
      <c r="F13" s="4"/>
      <c r="G13" s="4"/>
      <c r="H13" s="4"/>
      <c r="I13" s="4"/>
      <c r="J13" s="5"/>
    </row>
    <row r="14" ht="12.75" customHeight="1"/>
    <row r="15" ht="75.0" customHeight="1">
      <c r="A15" s="62" t="s">
        <v>469</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67"/>
      <c r="E26" s="67"/>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c r="A1" s="1"/>
    </row>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8" t="s">
        <v>445</v>
      </c>
      <c r="C7" s="8" t="s">
        <v>446</v>
      </c>
      <c r="D7" s="8" t="s">
        <v>447</v>
      </c>
      <c r="E7" s="8" t="s">
        <v>448</v>
      </c>
      <c r="F7" s="11" t="s">
        <v>449</v>
      </c>
      <c r="G7" s="14" t="s">
        <v>450</v>
      </c>
      <c r="H7" s="8" t="s">
        <v>19</v>
      </c>
      <c r="I7" s="8" t="s">
        <v>451</v>
      </c>
      <c r="J7" s="8" t="s">
        <v>452</v>
      </c>
      <c r="K7" s="15"/>
      <c r="L7" s="15"/>
      <c r="M7" s="15"/>
      <c r="N7" s="15"/>
      <c r="O7" s="15"/>
      <c r="P7" s="15"/>
      <c r="Q7" s="15"/>
      <c r="R7" s="15"/>
      <c r="S7" s="15"/>
      <c r="T7" s="15"/>
      <c r="U7" s="15"/>
      <c r="V7" s="15"/>
      <c r="W7" s="15"/>
      <c r="X7" s="15"/>
      <c r="Y7" s="15"/>
      <c r="Z7" s="15"/>
    </row>
    <row r="8" ht="50.25" customHeight="1">
      <c r="A8" s="18" t="s">
        <v>27</v>
      </c>
      <c r="B8" s="38" t="s">
        <v>453</v>
      </c>
      <c r="C8" s="27" t="s">
        <v>454</v>
      </c>
      <c r="D8" s="160" t="s">
        <v>455</v>
      </c>
      <c r="E8" s="28">
        <v>145900.0</v>
      </c>
      <c r="F8" s="30">
        <f t="shared" ref="F8:F10" si="1">E8*1.19</f>
        <v>173621</v>
      </c>
      <c r="G8" s="32">
        <f t="shared" ref="G8:G10" si="2">(F8+E8)/3900</f>
        <v>81.92846154</v>
      </c>
      <c r="H8" s="144">
        <f t="shared" ref="H8:H10" si="3">G8*3900</f>
        <v>319521</v>
      </c>
      <c r="I8" s="72" t="s">
        <v>61</v>
      </c>
      <c r="J8" s="38" t="s">
        <v>456</v>
      </c>
    </row>
    <row r="9" ht="50.25" customHeight="1">
      <c r="A9" s="44" t="s">
        <v>50</v>
      </c>
      <c r="B9" s="45" t="s">
        <v>457</v>
      </c>
      <c r="C9" s="55" t="s">
        <v>458</v>
      </c>
      <c r="D9" s="45" t="s">
        <v>459</v>
      </c>
      <c r="E9" s="57">
        <v>0.0</v>
      </c>
      <c r="F9" s="59">
        <f t="shared" si="1"/>
        <v>0</v>
      </c>
      <c r="G9" s="51">
        <f t="shared" si="2"/>
        <v>0</v>
      </c>
      <c r="H9" s="103">
        <f t="shared" si="3"/>
        <v>0</v>
      </c>
      <c r="I9" s="45" t="s">
        <v>84</v>
      </c>
      <c r="J9" s="45" t="s">
        <v>461</v>
      </c>
    </row>
    <row r="10" ht="50.25" customHeight="1">
      <c r="A10" s="18" t="s">
        <v>58</v>
      </c>
      <c r="B10" s="38" t="s">
        <v>462</v>
      </c>
      <c r="C10" s="27" t="s">
        <v>463</v>
      </c>
      <c r="D10" s="60" t="s">
        <v>467</v>
      </c>
      <c r="E10" s="100">
        <v>220000.0</v>
      </c>
      <c r="F10" s="30">
        <f t="shared" si="1"/>
        <v>261800</v>
      </c>
      <c r="G10" s="32">
        <f t="shared" si="2"/>
        <v>123.5384615</v>
      </c>
      <c r="H10" s="144">
        <f t="shared" si="3"/>
        <v>481800</v>
      </c>
      <c r="I10" s="72" t="s">
        <v>61</v>
      </c>
      <c r="J10" s="165"/>
    </row>
    <row r="11" ht="15.0" hidden="1" customHeight="1">
      <c r="A11" s="56"/>
      <c r="B11" s="58"/>
      <c r="C11" s="58"/>
      <c r="D11" s="58"/>
      <c r="E11" s="58"/>
      <c r="F11" s="58"/>
      <c r="G11" s="58"/>
      <c r="H11" s="58"/>
      <c r="I11" s="58"/>
      <c r="J11" s="58"/>
    </row>
    <row r="12" ht="12.75" customHeight="1"/>
    <row r="13" ht="138.75" customHeight="1">
      <c r="A13" s="62" t="s">
        <v>470</v>
      </c>
      <c r="B13" s="4"/>
      <c r="C13" s="4"/>
      <c r="D13" s="4"/>
      <c r="E13" s="4"/>
      <c r="F13" s="4"/>
      <c r="G13" s="4"/>
      <c r="H13" s="4"/>
      <c r="I13" s="4"/>
      <c r="J13" s="5"/>
    </row>
    <row r="14" ht="12.75" customHeight="1"/>
    <row r="15" ht="75.0" customHeight="1">
      <c r="A15" s="62" t="s">
        <v>471</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67"/>
      <c r="E26" s="67"/>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